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enerator1\"/>
    </mc:Choice>
  </mc:AlternateContent>
  <xr:revisionPtr revIDLastSave="0" documentId="13_ncr:1_{F6C94AA7-4FDE-4050-B296-28FF3E82B4E6}" xr6:coauthVersionLast="47" xr6:coauthVersionMax="47" xr10:uidLastSave="{00000000-0000-0000-0000-000000000000}"/>
  <bookViews>
    <workbookView xWindow="810" yWindow="-120" windowWidth="28110" windowHeight="16440" activeTab="6" xr2:uid="{00000000-000D-0000-FFFF-FFFF00000000}"/>
  </bookViews>
  <sheets>
    <sheet name="Инструкция" sheetId="10" r:id="rId1"/>
    <sheet name="PLC" sheetId="7" r:id="rId2"/>
    <sheet name="Phase" sheetId="9" r:id="rId3"/>
    <sheet name="AI" sheetId="1" r:id="rId4"/>
    <sheet name="RTD" sheetId="11" r:id="rId5"/>
    <sheet name="DI" sheetId="4" r:id="rId6"/>
    <sheet name="DO" sheetId="5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1" l="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6" i="11"/>
  <c r="B26" i="11"/>
  <c r="B27" i="11"/>
  <c r="B28" i="11"/>
  <c r="B29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6" i="11"/>
  <c r="C33" i="5"/>
  <c r="C49" i="5" s="1"/>
  <c r="B33" i="5"/>
  <c r="B49" i="5" s="1"/>
  <c r="C32" i="5"/>
  <c r="C48" i="5" s="1"/>
  <c r="B32" i="5"/>
  <c r="B48" i="5" s="1"/>
  <c r="C31" i="5"/>
  <c r="C47" i="5" s="1"/>
  <c r="B31" i="5"/>
  <c r="B47" i="5" s="1"/>
  <c r="C30" i="5"/>
  <c r="C46" i="5" s="1"/>
  <c r="B30" i="5"/>
  <c r="B46" i="5" s="1"/>
  <c r="C29" i="5"/>
  <c r="C45" i="5" s="1"/>
  <c r="B29" i="5"/>
  <c r="B45" i="5" s="1"/>
  <c r="C28" i="5"/>
  <c r="C44" i="5" s="1"/>
  <c r="B28" i="5"/>
  <c r="B44" i="5" s="1"/>
  <c r="C27" i="5"/>
  <c r="C43" i="5" s="1"/>
  <c r="B27" i="5"/>
  <c r="B43" i="5" s="1"/>
  <c r="C26" i="5"/>
  <c r="C42" i="5" s="1"/>
  <c r="B26" i="5"/>
  <c r="B42" i="5" s="1"/>
  <c r="C25" i="5"/>
  <c r="C41" i="5" s="1"/>
  <c r="B25" i="5"/>
  <c r="B41" i="5" s="1"/>
  <c r="C24" i="5"/>
  <c r="C40" i="5" s="1"/>
  <c r="B24" i="5"/>
  <c r="B40" i="5" s="1"/>
  <c r="C23" i="5"/>
  <c r="C39" i="5" s="1"/>
  <c r="B23" i="5"/>
  <c r="B39" i="5" s="1"/>
  <c r="C22" i="5"/>
  <c r="C38" i="5" s="1"/>
  <c r="B22" i="5"/>
  <c r="B38" i="5" s="1"/>
  <c r="C21" i="5"/>
  <c r="C37" i="5" s="1"/>
  <c r="B21" i="5"/>
  <c r="B37" i="5" s="1"/>
  <c r="C20" i="5"/>
  <c r="C36" i="5" s="1"/>
  <c r="B20" i="5"/>
  <c r="B36" i="5" s="1"/>
  <c r="C19" i="5"/>
  <c r="C35" i="5" s="1"/>
  <c r="B19" i="5"/>
  <c r="B35" i="5" s="1"/>
  <c r="C18" i="5"/>
  <c r="C34" i="5" s="1"/>
  <c r="B18" i="5"/>
  <c r="B34" i="5" s="1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19" i="4"/>
  <c r="C18" i="4"/>
  <c r="B19" i="4"/>
  <c r="B18" i="4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2" i="1"/>
  <c r="C13" i="1"/>
  <c r="C14" i="1"/>
  <c r="C15" i="1"/>
  <c r="C16" i="1"/>
  <c r="C17" i="1"/>
  <c r="C11" i="1"/>
  <c r="C10" i="1"/>
  <c r="B11" i="1"/>
  <c r="B12" i="1"/>
  <c r="B13" i="1"/>
  <c r="B14" i="1"/>
  <c r="B15" i="1"/>
  <c r="B16" i="1"/>
  <c r="B17" i="1"/>
  <c r="B10" i="1"/>
  <c r="B4" i="1"/>
  <c r="B5" i="1"/>
  <c r="B6" i="1"/>
  <c r="B7" i="1"/>
  <c r="B8" i="1"/>
  <c r="B9" i="1"/>
  <c r="B3" i="1"/>
</calcChain>
</file>

<file path=xl/sharedStrings.xml><?xml version="1.0" encoding="utf-8"?>
<sst xmlns="http://schemas.openxmlformats.org/spreadsheetml/2006/main" count="404" uniqueCount="293">
  <si>
    <t>ta1.1</t>
  </si>
  <si>
    <t>ta2.2</t>
  </si>
  <si>
    <t>tan1</t>
  </si>
  <si>
    <t>tan2</t>
  </si>
  <si>
    <t>ta3.3</t>
  </si>
  <si>
    <t>auto</t>
  </si>
  <si>
    <t>= count AI</t>
  </si>
  <si>
    <t>= count DI</t>
  </si>
  <si>
    <t>= count DO</t>
  </si>
  <si>
    <t>= count lines</t>
  </si>
  <si>
    <t>= count Dt</t>
  </si>
  <si>
    <t>- номер последней ДТшки по схеме, например, ТЕ11</t>
  </si>
  <si>
    <t>- количество линий</t>
  </si>
  <si>
    <t>tan3</t>
  </si>
  <si>
    <t>= first_group</t>
  </si>
  <si>
    <t>- количество линий в первой группе</t>
  </si>
  <si>
    <t>- количество модулей AI</t>
  </si>
  <si>
    <t>- количество модулей DI</t>
  </si>
  <si>
    <t>- количество модулей DO</t>
  </si>
  <si>
    <t>QFD</t>
  </si>
  <si>
    <t>= typeQFD</t>
  </si>
  <si>
    <t>= xON_OFF</t>
  </si>
  <si>
    <t>TRUE - если на DI приходят сигналы о состоянии контакторов</t>
  </si>
  <si>
    <t>qfd1</t>
  </si>
  <si>
    <t>qfd2</t>
  </si>
  <si>
    <t>qfd3</t>
  </si>
  <si>
    <t>1 линия</t>
  </si>
  <si>
    <t>2 линия</t>
  </si>
  <si>
    <t>3 линия</t>
  </si>
  <si>
    <t>4 линия</t>
  </si>
  <si>
    <t>5 линия</t>
  </si>
  <si>
    <t>6 линия</t>
  </si>
  <si>
    <t>7 линия</t>
  </si>
  <si>
    <t>8 линия</t>
  </si>
  <si>
    <t>9 линия</t>
  </si>
  <si>
    <t>10 линия</t>
  </si>
  <si>
    <t>Фазировка в формате:
1 - А
2 - В
3 - АВ
4 - С
5 - АС
6 - ВС
7 - АВС</t>
  </si>
  <si>
    <t>False</t>
  </si>
  <si>
    <t>ta1.2</t>
  </si>
  <si>
    <t>ta1.3</t>
  </si>
  <si>
    <t>ta3.1</t>
  </si>
  <si>
    <t>tan4</t>
  </si>
  <si>
    <t>ta2.1</t>
  </si>
  <si>
    <t>ta2.3</t>
  </si>
  <si>
    <t>ta3.2</t>
  </si>
  <si>
    <t>ta4.1</t>
  </si>
  <si>
    <t>ta5.2</t>
  </si>
  <si>
    <t>ta6.1</t>
  </si>
  <si>
    <t>ta8.2</t>
  </si>
  <si>
    <t>ta8.1</t>
  </si>
  <si>
    <t>ta7.1</t>
  </si>
  <si>
    <t>tan8</t>
  </si>
  <si>
    <t>tan7</t>
  </si>
  <si>
    <t>tan6</t>
  </si>
  <si>
    <t>tan5</t>
  </si>
  <si>
    <t>qfd4</t>
  </si>
  <si>
    <t>qfd5</t>
  </si>
  <si>
    <t>qfd6</t>
  </si>
  <si>
    <t>qfd7</t>
  </si>
  <si>
    <t>qfd8</t>
  </si>
  <si>
    <t>11 линия</t>
  </si>
  <si>
    <t>12 линия</t>
  </si>
  <si>
    <t>13 линия</t>
  </si>
  <si>
    <t>14 линия</t>
  </si>
  <si>
    <t>15 линия</t>
  </si>
  <si>
    <t>16 линия</t>
  </si>
  <si>
    <t>17 линия</t>
  </si>
  <si>
    <t>= count RTD</t>
  </si>
  <si>
    <t>- количество модулей RTD</t>
  </si>
  <si>
    <t>linesOn</t>
  </si>
  <si>
    <t>alAll</t>
  </si>
  <si>
    <t>km2</t>
  </si>
  <si>
    <t>km7</t>
  </si>
  <si>
    <t>km8</t>
  </si>
  <si>
    <t>- номер контакта на QF</t>
  </si>
  <si>
    <t>- номер контакта на FD</t>
  </si>
  <si>
    <t>- номер контакта на QFD</t>
  </si>
  <si>
    <t>= для протокола</t>
  </si>
  <si>
    <t>SA2</t>
  </si>
  <si>
    <t>- переключатель авто/руч</t>
  </si>
  <si>
    <t>- номер контакта "Обогрев в ручн. режиме"</t>
  </si>
  <si>
    <t>- номер контакта "Обогрев в авт. режиме"</t>
  </si>
  <si>
    <t>- номер контакта "Вкл/откл линии" (контактора КМ)</t>
  </si>
  <si>
    <t>НЕ ИСПОЛЬЗОВАТЬ ЭТУ СТРОКУ</t>
  </si>
  <si>
    <t>Мини-гайд</t>
  </si>
  <si>
    <t>1. Заполняем лист PLC согласно примечанию в столбцах. При неверных данных вылезет ошибка или крашнется терминал.</t>
  </si>
  <si>
    <t>Производитель</t>
  </si>
  <si>
    <t>Софтикек</t>
  </si>
  <si>
    <t>2. Заполняем AI. Заполняем по модулям согласно КД, т.е. в программе уже учтено, что нумерация входов по КД идет не по порядку. 
Программа отличает только TA и TAN. Привязка идет по автоматам, поэтому придумывать ничего не нужно.</t>
  </si>
  <si>
    <t>3. Заполняем DI по тэгу сигнала, например, QF1, FD1, QFD1, KM1.
Сигнал переключения авто/руч, обогр в руч вкл, сигнал наличия напряжения на вводе указываются как auto, manuon, rkn соответственно.</t>
  </si>
  <si>
    <t>4. Заполняем DO по тэгу сигнала, например, KM1, linesOn, alAll, alDt.</t>
  </si>
  <si>
    <t>5. Заполняем фазировку Phase согласно однолинейке.</t>
  </si>
  <si>
    <t>Если есть каналы под резерв, после которых есть подключение, ставим прочерки в ячейках. Например -&gt;</t>
  </si>
  <si>
    <t>6. Сохраняем эксельку, запускаем exe-шник. Если программа выполнится, в терминале вы увидите сообщение. И появится несколько файлов.</t>
  </si>
  <si>
    <t xml:space="preserve">7. GVL.txt вставляем в GVL.
proc_io.txt вставляем в Proc_IO. </t>
  </si>
  <si>
    <t>8. Проверяем/исправляем ошибки и компилирование программы.</t>
  </si>
  <si>
    <t>9. Из protocol.xlsx вытаскиваем таблицы для протокола.</t>
  </si>
  <si>
    <t>-программа различает KM1 и KM1.1</t>
  </si>
  <si>
    <t>- RTD конфиг генерируется согласно количеству датчиков. Если они садятся как-то необычно, надо будет править ручками</t>
  </si>
  <si>
    <t>18 линия</t>
  </si>
  <si>
    <t>19 линия</t>
  </si>
  <si>
    <t>20 линия</t>
  </si>
  <si>
    <t>21 линия</t>
  </si>
  <si>
    <t>22 линия</t>
  </si>
  <si>
    <t>23 линия</t>
  </si>
  <si>
    <t>24 линия</t>
  </si>
  <si>
    <t>25 линия</t>
  </si>
  <si>
    <t>- QFD / QF / QF+FD</t>
  </si>
  <si>
    <t>TRUE - если на DI приходят сигналы о состоянии QF/QFD</t>
  </si>
  <si>
    <t>Фазировка</t>
  </si>
  <si>
    <t>№ линии</t>
  </si>
  <si>
    <t>А,В</t>
  </si>
  <si>
    <t>С,В,А</t>
  </si>
  <si>
    <t>В,С</t>
  </si>
  <si>
    <t>А</t>
  </si>
  <si>
    <t>В</t>
  </si>
  <si>
    <t>В,А</t>
  </si>
  <si>
    <t>С</t>
  </si>
  <si>
    <t>А,В,С</t>
  </si>
  <si>
    <t>26 линия</t>
  </si>
  <si>
    <t>27 линия</t>
  </si>
  <si>
    <t>28 линия</t>
  </si>
  <si>
    <t>29 линия</t>
  </si>
  <si>
    <t>30 линия</t>
  </si>
  <si>
    <t>31 линия</t>
  </si>
  <si>
    <t>32 линия</t>
  </si>
  <si>
    <t>ta9.1</t>
  </si>
  <si>
    <t>tan9</t>
  </si>
  <si>
    <t>ta10.2</t>
  </si>
  <si>
    <t>tan10</t>
  </si>
  <si>
    <t>tan11</t>
  </si>
  <si>
    <t>tan12</t>
  </si>
  <si>
    <t>tan13</t>
  </si>
  <si>
    <t>tan14</t>
  </si>
  <si>
    <t>ta15.2</t>
  </si>
  <si>
    <t>tan15</t>
  </si>
  <si>
    <t>ta16.3</t>
  </si>
  <si>
    <t>tan16</t>
  </si>
  <si>
    <t>ta17.1</t>
  </si>
  <si>
    <t>tan17</t>
  </si>
  <si>
    <t>ta18.2</t>
  </si>
  <si>
    <t>tan18</t>
  </si>
  <si>
    <t>ta19.3</t>
  </si>
  <si>
    <t>tan19</t>
  </si>
  <si>
    <t>tan20</t>
  </si>
  <si>
    <t>ta21.2</t>
  </si>
  <si>
    <t>tan21</t>
  </si>
  <si>
    <t>tan22</t>
  </si>
  <si>
    <t>ta23.3</t>
  </si>
  <si>
    <t>tan23</t>
  </si>
  <si>
    <t>ta24.1</t>
  </si>
  <si>
    <t>ta24.2</t>
  </si>
  <si>
    <t>tan24</t>
  </si>
  <si>
    <t>tan25</t>
  </si>
  <si>
    <t>ta26.2</t>
  </si>
  <si>
    <t>ta26.3</t>
  </si>
  <si>
    <t>tan26</t>
  </si>
  <si>
    <t>ta27.2</t>
  </si>
  <si>
    <t>tan27</t>
  </si>
  <si>
    <t>ta28.3</t>
  </si>
  <si>
    <t>tan28</t>
  </si>
  <si>
    <t>ta29.1</t>
  </si>
  <si>
    <t>ta29.2</t>
  </si>
  <si>
    <t>ta29.3</t>
  </si>
  <si>
    <t>tan29</t>
  </si>
  <si>
    <t>qfds1</t>
  </si>
  <si>
    <t>km1</t>
  </si>
  <si>
    <t>qfds2</t>
  </si>
  <si>
    <t>Датчик тока</t>
  </si>
  <si>
    <t>Модуль</t>
  </si>
  <si>
    <t>Канал</t>
  </si>
  <si>
    <t>резерв</t>
  </si>
  <si>
    <t>qfds3</t>
  </si>
  <si>
    <t>km3</t>
  </si>
  <si>
    <t>qfds4</t>
  </si>
  <si>
    <t>km4</t>
  </si>
  <si>
    <t>qfds5</t>
  </si>
  <si>
    <t>km5</t>
  </si>
  <si>
    <t>qfds6</t>
  </si>
  <si>
    <t>km6</t>
  </si>
  <si>
    <t>qfds7</t>
  </si>
  <si>
    <t>qfds8</t>
  </si>
  <si>
    <t>qfds9</t>
  </si>
  <si>
    <t>qfd9</t>
  </si>
  <si>
    <t>km9.1</t>
  </si>
  <si>
    <t>km9.2</t>
  </si>
  <si>
    <t>qfds10</t>
  </si>
  <si>
    <t>qfd10</t>
  </si>
  <si>
    <t>km10.1</t>
  </si>
  <si>
    <t>km10.2</t>
  </si>
  <si>
    <t>km10.3</t>
  </si>
  <si>
    <t>qfds11</t>
  </si>
  <si>
    <t>qfd11</t>
  </si>
  <si>
    <t>km11</t>
  </si>
  <si>
    <t>qfds12</t>
  </si>
  <si>
    <t>qfd12</t>
  </si>
  <si>
    <t>km12</t>
  </si>
  <si>
    <t>qfds13</t>
  </si>
  <si>
    <t>qfd13</t>
  </si>
  <si>
    <t>km13</t>
  </si>
  <si>
    <t>qfds14</t>
  </si>
  <si>
    <t>qfd14</t>
  </si>
  <si>
    <t>km14</t>
  </si>
  <si>
    <t>qfds15</t>
  </si>
  <si>
    <t>qfd15</t>
  </si>
  <si>
    <t>km15</t>
  </si>
  <si>
    <t>qfds16</t>
  </si>
  <si>
    <t>qfd16</t>
  </si>
  <si>
    <t>km16</t>
  </si>
  <si>
    <t>qfds17</t>
  </si>
  <si>
    <t>qfd17</t>
  </si>
  <si>
    <t>km17</t>
  </si>
  <si>
    <t>qfds18</t>
  </si>
  <si>
    <t>qfd18</t>
  </si>
  <si>
    <t>km18</t>
  </si>
  <si>
    <t>qfds19</t>
  </si>
  <si>
    <t>qfd19</t>
  </si>
  <si>
    <t>km19</t>
  </si>
  <si>
    <t>qfds20</t>
  </si>
  <si>
    <t>qfd20</t>
  </si>
  <si>
    <t>km20</t>
  </si>
  <si>
    <t>qfds21</t>
  </si>
  <si>
    <t>qfd21</t>
  </si>
  <si>
    <t>km21</t>
  </si>
  <si>
    <t>qfds22</t>
  </si>
  <si>
    <t>qfd22</t>
  </si>
  <si>
    <t>km22</t>
  </si>
  <si>
    <t>qfds23</t>
  </si>
  <si>
    <t>qfd23</t>
  </si>
  <si>
    <t>km23</t>
  </si>
  <si>
    <t>qfds24</t>
  </si>
  <si>
    <t>qfd24</t>
  </si>
  <si>
    <t>km24</t>
  </si>
  <si>
    <t>qfds25</t>
  </si>
  <si>
    <t>qfd25</t>
  </si>
  <si>
    <t>km25</t>
  </si>
  <si>
    <t>qfds26</t>
  </si>
  <si>
    <t>qfd26</t>
  </si>
  <si>
    <t>km26</t>
  </si>
  <si>
    <t>qfds27</t>
  </si>
  <si>
    <t>qfd27</t>
  </si>
  <si>
    <t>km27</t>
  </si>
  <si>
    <t>qfds28</t>
  </si>
  <si>
    <t>qfd28</t>
  </si>
  <si>
    <t>km28</t>
  </si>
  <si>
    <t>qfds29</t>
  </si>
  <si>
    <t>qfd29</t>
  </si>
  <si>
    <t>km29</t>
  </si>
  <si>
    <t>manu</t>
  </si>
  <si>
    <t>Сигнал</t>
  </si>
  <si>
    <t>Датчик темп</t>
  </si>
  <si>
    <t>ТЕ0</t>
  </si>
  <si>
    <t>ТЕ1.1</t>
  </si>
  <si>
    <t>ТЕ3.1</t>
  </si>
  <si>
    <t>ТЕ4.1</t>
  </si>
  <si>
    <t>ТЕ5.1</t>
  </si>
  <si>
    <t>ТЕ6.1</t>
  </si>
  <si>
    <t>ТЕ7.1</t>
  </si>
  <si>
    <t>ТЕ8.1</t>
  </si>
  <si>
    <t>ТЕ9.1</t>
  </si>
  <si>
    <t>ТЕ9.2</t>
  </si>
  <si>
    <t>ТЕ10.1</t>
  </si>
  <si>
    <t>ТЕ10.2</t>
  </si>
  <si>
    <t>ТЕ11.1</t>
  </si>
  <si>
    <t>ТЕ12.1</t>
  </si>
  <si>
    <t>ТЕ13.1</t>
  </si>
  <si>
    <t>ТЕ14.1</t>
  </si>
  <si>
    <t>ТЕ15.1</t>
  </si>
  <si>
    <t>ТЕ16.1</t>
  </si>
  <si>
    <t>ТЕ17.1</t>
  </si>
  <si>
    <t>ТЕ18.1</t>
  </si>
  <si>
    <t>ТЕ19.1</t>
  </si>
  <si>
    <t>ТЕ20.1</t>
  </si>
  <si>
    <t>ТЕ21.1</t>
  </si>
  <si>
    <t>ТЕ22.1</t>
  </si>
  <si>
    <t>= QFD/QF state</t>
  </si>
  <si>
    <t>ta9.2</t>
  </si>
  <si>
    <t>ta10.1</t>
  </si>
  <si>
    <t>ta10.3</t>
  </si>
  <si>
    <t>ta11.2</t>
  </si>
  <si>
    <t>ta12.2</t>
  </si>
  <si>
    <t>ta13.3</t>
  </si>
  <si>
    <t>ta14.1</t>
  </si>
  <si>
    <t>ta20.3</t>
  </si>
  <si>
    <t>ta21.1</t>
  </si>
  <si>
    <t>ta21.3</t>
  </si>
  <si>
    <t>ta22.1</t>
  </si>
  <si>
    <t>ta23.2</t>
  </si>
  <si>
    <t>ta25.3</t>
  </si>
  <si>
    <t>ta26.1</t>
  </si>
  <si>
    <t>ta28.1</t>
  </si>
  <si>
    <t>ta28.2</t>
  </si>
  <si>
    <t>alDt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</si>
</sst>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/>
    <xf numFmtId="0" fontId="0" fillId="2" borderId="0" xfId="0" applyFill="1"/>
    <xf numFmtId="0" fontId="0" fillId="2" borderId="1" xfId="0" applyFill="1" applyBorder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quotePrefix="1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0" xfId="0" quotePrefix="1" applyNumberFormat="1"/>
    <xf numFmtId="2" fontId="0" fillId="2" borderId="0" xfId="0" applyNumberForma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12</xdr:row>
      <xdr:rowOff>9525</xdr:rowOff>
    </xdr:from>
    <xdr:to>
      <xdr:col>4</xdr:col>
      <xdr:colOff>705347</xdr:colOff>
      <xdr:row>29</xdr:row>
      <xdr:rowOff>19610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B54C683-07CD-AD99-5F90-8BA3DBFE6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5475" y="3609975"/>
          <a:ext cx="3562847" cy="4010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0738-4B14-48FC-9E5F-8FD1F7398600}">
  <dimension ref="A2:E21"/>
  <sheetViews>
    <sheetView workbookViewId="0">
      <selection activeCell="C3" sqref="C3"/>
    </sheetView>
  </sheetViews>
  <sheetFormatPr defaultColWidth="83.85546875" defaultRowHeight="15.75" x14ac:dyDescent="0.25"/>
  <cols>
    <col min="1" max="1" width="83.85546875" style="19"/>
    <col min="2" max="2" width="11.7109375" style="17" customWidth="1"/>
    <col min="3" max="3" width="25.5703125" style="17" customWidth="1"/>
    <col min="4" max="4" width="7.28515625" style="17" customWidth="1"/>
    <col min="5" max="5" width="110.7109375" style="22" customWidth="1"/>
    <col min="6" max="6" width="28.85546875" style="17" customWidth="1"/>
    <col min="7" max="7" width="80.85546875" style="17" customWidth="1"/>
    <col min="8" max="16384" width="83.85546875" style="17"/>
  </cols>
  <sheetData>
    <row r="2" spans="1:5" x14ac:dyDescent="0.25">
      <c r="A2" s="16" t="s">
        <v>84</v>
      </c>
      <c r="C2" s="18" t="s">
        <v>86</v>
      </c>
    </row>
    <row r="3" spans="1:5" ht="31.5" x14ac:dyDescent="0.25">
      <c r="A3" s="19" t="s">
        <v>85</v>
      </c>
      <c r="C3" s="20" t="s">
        <v>87</v>
      </c>
      <c r="E3" s="21" t="s">
        <v>98</v>
      </c>
    </row>
    <row r="5" spans="1:5" ht="63" x14ac:dyDescent="0.25">
      <c r="A5" s="19" t="s">
        <v>88</v>
      </c>
      <c r="C5" s="20" t="s">
        <v>87</v>
      </c>
    </row>
    <row r="7" spans="1:5" ht="47.25" x14ac:dyDescent="0.25">
      <c r="A7" s="19" t="s">
        <v>89</v>
      </c>
      <c r="C7" s="20" t="s">
        <v>87</v>
      </c>
      <c r="E7" s="23" t="s">
        <v>97</v>
      </c>
    </row>
    <row r="9" spans="1:5" x14ac:dyDescent="0.25">
      <c r="A9" s="19" t="s">
        <v>90</v>
      </c>
      <c r="C9" s="20" t="s">
        <v>87</v>
      </c>
    </row>
    <row r="11" spans="1:5" x14ac:dyDescent="0.25">
      <c r="A11" s="19" t="s">
        <v>91</v>
      </c>
    </row>
    <row r="13" spans="1:5" ht="31.5" x14ac:dyDescent="0.25">
      <c r="A13" s="19" t="s">
        <v>92</v>
      </c>
    </row>
    <row r="15" spans="1:5" ht="31.5" x14ac:dyDescent="0.25">
      <c r="A15" s="19" t="s">
        <v>93</v>
      </c>
    </row>
    <row r="17" spans="1:1" ht="31.5" x14ac:dyDescent="0.25">
      <c r="A17" s="19" t="s">
        <v>94</v>
      </c>
    </row>
    <row r="19" spans="1:1" x14ac:dyDescent="0.25">
      <c r="A19" s="19" t="s">
        <v>95</v>
      </c>
    </row>
    <row r="21" spans="1:1" x14ac:dyDescent="0.25">
      <c r="A21" s="19" t="s">
        <v>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5482-A713-4CFF-A2CD-3BDA0A3B49A1}">
  <dimension ref="A1:E18"/>
  <sheetViews>
    <sheetView workbookViewId="0">
      <selection activeCell="A3" sqref="A3"/>
    </sheetView>
  </sheetViews>
  <sheetFormatPr defaultRowHeight="15" x14ac:dyDescent="0.25"/>
  <cols>
    <col min="1" max="1" width="9.140625" style="6"/>
    <col min="2" max="2" width="15.85546875" style="5" customWidth="1"/>
    <col min="3" max="3" width="65.5703125" style="4" customWidth="1"/>
  </cols>
  <sheetData>
    <row r="1" spans="1:5" x14ac:dyDescent="0.25">
      <c r="A1" s="39" t="s">
        <v>83</v>
      </c>
      <c r="B1" s="39"/>
      <c r="C1" s="39"/>
      <c r="D1" s="2"/>
      <c r="E1" s="2"/>
    </row>
    <row r="2" spans="1:5" x14ac:dyDescent="0.25">
      <c r="A2" s="8">
        <v>10</v>
      </c>
      <c r="B2" s="5" t="s">
        <v>6</v>
      </c>
      <c r="C2" s="3" t="s">
        <v>16</v>
      </c>
      <c r="D2" s="2"/>
      <c r="E2" s="2"/>
    </row>
    <row r="3" spans="1:5" x14ac:dyDescent="0.25">
      <c r="A3" s="8">
        <v>7</v>
      </c>
      <c r="B3" s="5" t="s">
        <v>67</v>
      </c>
      <c r="C3" s="3" t="s">
        <v>68</v>
      </c>
      <c r="D3" s="2"/>
      <c r="E3" s="2"/>
    </row>
    <row r="4" spans="1:5" x14ac:dyDescent="0.25">
      <c r="A4" s="8">
        <v>7</v>
      </c>
      <c r="B4" s="5" t="s">
        <v>7</v>
      </c>
      <c r="C4" s="3" t="s">
        <v>17</v>
      </c>
    </row>
    <row r="5" spans="1:5" x14ac:dyDescent="0.25">
      <c r="A5" s="8">
        <v>3</v>
      </c>
      <c r="B5" s="5" t="s">
        <v>8</v>
      </c>
      <c r="C5" s="3" t="s">
        <v>18</v>
      </c>
    </row>
    <row r="6" spans="1:5" x14ac:dyDescent="0.25">
      <c r="A6" s="8">
        <v>32</v>
      </c>
      <c r="B6" s="5" t="s">
        <v>9</v>
      </c>
      <c r="C6" s="4" t="s">
        <v>12</v>
      </c>
    </row>
    <row r="7" spans="1:5" x14ac:dyDescent="0.25">
      <c r="A7" s="8">
        <v>23</v>
      </c>
      <c r="B7" s="5" t="s">
        <v>10</v>
      </c>
      <c r="C7" s="4" t="s">
        <v>11</v>
      </c>
    </row>
    <row r="8" spans="1:5" x14ac:dyDescent="0.25">
      <c r="A8" s="8">
        <v>17</v>
      </c>
      <c r="B8" s="5" t="s">
        <v>14</v>
      </c>
      <c r="C8" s="4" t="s">
        <v>15</v>
      </c>
    </row>
    <row r="9" spans="1:5" x14ac:dyDescent="0.25">
      <c r="A9" s="6" t="s">
        <v>19</v>
      </c>
      <c r="B9" s="5" t="s">
        <v>20</v>
      </c>
      <c r="C9" s="4" t="s">
        <v>107</v>
      </c>
    </row>
    <row r="10" spans="1:5" x14ac:dyDescent="0.25">
      <c r="A10" s="6" t="s">
        <v>37</v>
      </c>
      <c r="B10" s="5" t="s">
        <v>275</v>
      </c>
      <c r="C10" s="26" t="s">
        <v>108</v>
      </c>
    </row>
    <row r="11" spans="1:5" x14ac:dyDescent="0.25">
      <c r="A11" s="6" t="s">
        <v>37</v>
      </c>
      <c r="B11" s="5" t="s">
        <v>21</v>
      </c>
      <c r="C11" s="4" t="s">
        <v>22</v>
      </c>
    </row>
    <row r="12" spans="1:5" x14ac:dyDescent="0.25">
      <c r="A12" s="6">
        <v>94</v>
      </c>
      <c r="B12" s="5" t="s">
        <v>77</v>
      </c>
      <c r="C12" s="4" t="s">
        <v>74</v>
      </c>
    </row>
    <row r="13" spans="1:5" x14ac:dyDescent="0.25">
      <c r="A13" s="6">
        <v>96</v>
      </c>
      <c r="B13" s="5" t="s">
        <v>77</v>
      </c>
      <c r="C13" s="4" t="s">
        <v>75</v>
      </c>
    </row>
    <row r="14" spans="1:5" x14ac:dyDescent="0.25">
      <c r="A14" s="6">
        <v>98</v>
      </c>
      <c r="B14" s="5" t="s">
        <v>77</v>
      </c>
      <c r="C14" s="4" t="s">
        <v>76</v>
      </c>
    </row>
    <row r="15" spans="1:5" x14ac:dyDescent="0.25">
      <c r="A15" s="6" t="s">
        <v>78</v>
      </c>
      <c r="B15" s="5" t="s">
        <v>77</v>
      </c>
      <c r="C15" s="4" t="s">
        <v>79</v>
      </c>
    </row>
    <row r="16" spans="1:5" x14ac:dyDescent="0.25">
      <c r="A16" s="6">
        <v>5</v>
      </c>
      <c r="B16" s="5" t="s">
        <v>77</v>
      </c>
      <c r="C16" s="4" t="s">
        <v>80</v>
      </c>
    </row>
    <row r="17" spans="1:3" x14ac:dyDescent="0.25">
      <c r="A17" s="6">
        <v>8</v>
      </c>
      <c r="B17" s="5" t="s">
        <v>77</v>
      </c>
      <c r="C17" s="4" t="s">
        <v>81</v>
      </c>
    </row>
    <row r="18" spans="1:3" x14ac:dyDescent="0.25">
      <c r="A18" s="6">
        <v>6</v>
      </c>
      <c r="B18" s="5" t="s">
        <v>77</v>
      </c>
      <c r="C18" s="4" t="s">
        <v>82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CA81-384A-4FF9-B7ED-0A3E65711C24}">
  <dimension ref="A1:F33"/>
  <sheetViews>
    <sheetView workbookViewId="0">
      <selection activeCell="D1" sqref="D1:F10"/>
    </sheetView>
  </sheetViews>
  <sheetFormatPr defaultRowHeight="15" x14ac:dyDescent="0.25"/>
  <cols>
    <col min="1" max="1" width="11.7109375" style="13" customWidth="1"/>
    <col min="2" max="2" width="12.42578125" style="12" customWidth="1"/>
    <col min="3" max="3" width="17" style="4" customWidth="1"/>
    <col min="4" max="16384" width="9.140625" style="4"/>
  </cols>
  <sheetData>
    <row r="1" spans="1:6" x14ac:dyDescent="0.25">
      <c r="A1" s="4" t="s">
        <v>109</v>
      </c>
      <c r="B1" s="4" t="s">
        <v>110</v>
      </c>
      <c r="D1" s="40" t="s">
        <v>36</v>
      </c>
      <c r="E1" s="41"/>
      <c r="F1" s="41"/>
    </row>
    <row r="2" spans="1:6" x14ac:dyDescent="0.25">
      <c r="A2" s="13" t="s">
        <v>111</v>
      </c>
      <c r="B2" s="14" t="s">
        <v>26</v>
      </c>
      <c r="D2" s="41"/>
      <c r="E2" s="41"/>
      <c r="F2" s="41"/>
    </row>
    <row r="3" spans="1:6" x14ac:dyDescent="0.25">
      <c r="A3" s="13" t="s">
        <v>112</v>
      </c>
      <c r="B3" s="14" t="s">
        <v>27</v>
      </c>
      <c r="D3" s="41"/>
      <c r="E3" s="41"/>
      <c r="F3" s="41"/>
    </row>
    <row r="4" spans="1:6" x14ac:dyDescent="0.25">
      <c r="A4" s="13" t="s">
        <v>113</v>
      </c>
      <c r="B4" s="14" t="s">
        <v>28</v>
      </c>
      <c r="D4" s="41"/>
      <c r="E4" s="41"/>
      <c r="F4" s="41"/>
    </row>
    <row r="5" spans="1:6" x14ac:dyDescent="0.25">
      <c r="A5" s="13" t="s">
        <v>114</v>
      </c>
      <c r="B5" s="14" t="s">
        <v>29</v>
      </c>
      <c r="D5" s="41"/>
      <c r="E5" s="41"/>
      <c r="F5" s="41"/>
    </row>
    <row r="6" spans="1:6" x14ac:dyDescent="0.25">
      <c r="A6" s="13" t="s">
        <v>115</v>
      </c>
      <c r="B6" s="14" t="s">
        <v>30</v>
      </c>
      <c r="D6" s="41"/>
      <c r="E6" s="41"/>
      <c r="F6" s="41"/>
    </row>
    <row r="7" spans="1:6" x14ac:dyDescent="0.25">
      <c r="A7" s="13" t="s">
        <v>114</v>
      </c>
      <c r="B7" s="14" t="s">
        <v>31</v>
      </c>
      <c r="D7" s="41"/>
      <c r="E7" s="41"/>
      <c r="F7" s="41"/>
    </row>
    <row r="8" spans="1:6" x14ac:dyDescent="0.25">
      <c r="A8" s="13" t="s">
        <v>114</v>
      </c>
      <c r="B8" s="14" t="s">
        <v>32</v>
      </c>
      <c r="D8" s="41"/>
      <c r="E8" s="41"/>
      <c r="F8" s="41"/>
    </row>
    <row r="9" spans="1:6" x14ac:dyDescent="0.25">
      <c r="A9" s="13" t="s">
        <v>116</v>
      </c>
      <c r="B9" s="14" t="s">
        <v>33</v>
      </c>
      <c r="D9" s="41"/>
      <c r="E9" s="41"/>
      <c r="F9" s="41"/>
    </row>
    <row r="10" spans="1:6" x14ac:dyDescent="0.25">
      <c r="A10" s="13" t="s">
        <v>114</v>
      </c>
      <c r="B10" s="14" t="s">
        <v>34</v>
      </c>
      <c r="D10" s="41"/>
      <c r="E10" s="41"/>
      <c r="F10" s="41"/>
    </row>
    <row r="11" spans="1:6" x14ac:dyDescent="0.25">
      <c r="A11" s="13" t="s">
        <v>115</v>
      </c>
      <c r="B11" s="14" t="s">
        <v>35</v>
      </c>
    </row>
    <row r="12" spans="1:6" x14ac:dyDescent="0.25">
      <c r="A12" s="13" t="s">
        <v>117</v>
      </c>
      <c r="B12" s="14" t="s">
        <v>60</v>
      </c>
    </row>
    <row r="13" spans="1:6" x14ac:dyDescent="0.25">
      <c r="A13" s="13" t="s">
        <v>114</v>
      </c>
      <c r="B13" s="14" t="s">
        <v>61</v>
      </c>
    </row>
    <row r="14" spans="1:6" x14ac:dyDescent="0.25">
      <c r="A14" s="13" t="s">
        <v>115</v>
      </c>
      <c r="B14" s="14" t="s">
        <v>62</v>
      </c>
    </row>
    <row r="15" spans="1:6" x14ac:dyDescent="0.25">
      <c r="A15" s="13" t="s">
        <v>115</v>
      </c>
      <c r="B15" s="14" t="s">
        <v>63</v>
      </c>
    </row>
    <row r="16" spans="1:6" x14ac:dyDescent="0.25">
      <c r="A16" s="13" t="s">
        <v>115</v>
      </c>
      <c r="B16" s="14" t="s">
        <v>64</v>
      </c>
    </row>
    <row r="17" spans="1:2" x14ac:dyDescent="0.25">
      <c r="A17" s="13" t="s">
        <v>117</v>
      </c>
      <c r="B17" s="14" t="s">
        <v>65</v>
      </c>
    </row>
    <row r="18" spans="1:2" x14ac:dyDescent="0.25">
      <c r="A18" s="13" t="s">
        <v>114</v>
      </c>
      <c r="B18" s="14" t="s">
        <v>66</v>
      </c>
    </row>
    <row r="19" spans="1:2" x14ac:dyDescent="0.25">
      <c r="A19" s="13" t="s">
        <v>115</v>
      </c>
      <c r="B19" s="14" t="s">
        <v>99</v>
      </c>
    </row>
    <row r="20" spans="1:2" x14ac:dyDescent="0.25">
      <c r="A20" s="13" t="s">
        <v>117</v>
      </c>
      <c r="B20" s="14" t="s">
        <v>100</v>
      </c>
    </row>
    <row r="21" spans="1:2" x14ac:dyDescent="0.25">
      <c r="A21" s="13" t="s">
        <v>114</v>
      </c>
      <c r="B21" s="14" t="s">
        <v>101</v>
      </c>
    </row>
    <row r="22" spans="1:2" x14ac:dyDescent="0.25">
      <c r="A22" s="13" t="s">
        <v>115</v>
      </c>
      <c r="B22" s="14" t="s">
        <v>102</v>
      </c>
    </row>
    <row r="23" spans="1:2" x14ac:dyDescent="0.25">
      <c r="A23" s="13" t="s">
        <v>117</v>
      </c>
      <c r="B23" s="14" t="s">
        <v>103</v>
      </c>
    </row>
    <row r="24" spans="1:2" x14ac:dyDescent="0.25">
      <c r="A24" s="13" t="s">
        <v>117</v>
      </c>
      <c r="B24" s="14" t="s">
        <v>104</v>
      </c>
    </row>
    <row r="25" spans="1:2" x14ac:dyDescent="0.25">
      <c r="A25" s="13" t="s">
        <v>118</v>
      </c>
      <c r="B25" s="14" t="s">
        <v>105</v>
      </c>
    </row>
    <row r="26" spans="1:2" x14ac:dyDescent="0.25">
      <c r="A26" s="13" t="s">
        <v>114</v>
      </c>
      <c r="B26" s="14" t="s">
        <v>106</v>
      </c>
    </row>
    <row r="27" spans="1:2" x14ac:dyDescent="0.25">
      <c r="A27" s="13" t="s">
        <v>113</v>
      </c>
      <c r="B27" s="14" t="s">
        <v>119</v>
      </c>
    </row>
    <row r="28" spans="1:2" x14ac:dyDescent="0.25">
      <c r="A28" s="13" t="s">
        <v>111</v>
      </c>
      <c r="B28" s="14" t="s">
        <v>120</v>
      </c>
    </row>
    <row r="29" spans="1:2" x14ac:dyDescent="0.25">
      <c r="A29" s="13" t="s">
        <v>117</v>
      </c>
      <c r="B29" s="14" t="s">
        <v>121</v>
      </c>
    </row>
    <row r="30" spans="1:2" x14ac:dyDescent="0.25">
      <c r="A30" s="13" t="s">
        <v>118</v>
      </c>
      <c r="B30" s="14" t="s">
        <v>122</v>
      </c>
    </row>
    <row r="31" spans="1:2" x14ac:dyDescent="0.25">
      <c r="A31" s="13" t="s">
        <v>115</v>
      </c>
      <c r="B31" s="14" t="s">
        <v>123</v>
      </c>
    </row>
    <row r="32" spans="1:2" x14ac:dyDescent="0.25">
      <c r="A32" s="13" t="s">
        <v>118</v>
      </c>
      <c r="B32" s="14" t="s">
        <v>124</v>
      </c>
    </row>
    <row r="33" spans="1:2" x14ac:dyDescent="0.25">
      <c r="A33" s="13" t="s">
        <v>118</v>
      </c>
      <c r="B33" s="14" t="s">
        <v>125</v>
      </c>
    </row>
  </sheetData>
  <mergeCells count="1">
    <mergeCell ref="D1:F10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8"/>
  <sheetViews>
    <sheetView topLeftCell="A55" zoomScale="115" zoomScaleNormal="115" workbookViewId="0">
      <selection activeCell="D61" sqref="D61"/>
    </sheetView>
  </sheetViews>
  <sheetFormatPr defaultRowHeight="15" x14ac:dyDescent="0.25"/>
  <cols>
    <col min="1" max="1" width="14.42578125" style="29" customWidth="1"/>
    <col min="2" max="2" width="21.85546875" style="6" customWidth="1"/>
    <col min="3" max="3" width="9.140625" style="6"/>
    <col min="4" max="4" width="38.85546875" customWidth="1"/>
  </cols>
  <sheetData>
    <row r="1" spans="1:3" x14ac:dyDescent="0.25">
      <c r="A1" s="6" t="s">
        <v>168</v>
      </c>
      <c r="B1" s="6" t="s">
        <v>169</v>
      </c>
      <c r="C1" s="6" t="s">
        <v>170</v>
      </c>
    </row>
    <row r="2" spans="1:3" x14ac:dyDescent="0.25">
      <c r="A2" s="27" t="s">
        <v>0</v>
      </c>
      <c r="B2" s="13">
        <v>1</v>
      </c>
      <c r="C2" s="6">
        <v>7</v>
      </c>
    </row>
    <row r="3" spans="1:3" x14ac:dyDescent="0.25">
      <c r="A3" s="27" t="s">
        <v>38</v>
      </c>
      <c r="B3" s="13">
        <f>B2</f>
        <v>1</v>
      </c>
      <c r="C3" s="6">
        <v>8</v>
      </c>
    </row>
    <row r="4" spans="1:3" x14ac:dyDescent="0.25">
      <c r="A4" s="27" t="s">
        <v>39</v>
      </c>
      <c r="B4" s="13">
        <f t="shared" ref="B4:B9" si="0">B3</f>
        <v>1</v>
      </c>
      <c r="C4" s="6">
        <v>1</v>
      </c>
    </row>
    <row r="5" spans="1:3" x14ac:dyDescent="0.25">
      <c r="A5" s="27" t="s">
        <v>2</v>
      </c>
      <c r="B5" s="13">
        <f t="shared" si="0"/>
        <v>1</v>
      </c>
      <c r="C5" s="6">
        <v>2</v>
      </c>
    </row>
    <row r="6" spans="1:3" x14ac:dyDescent="0.25">
      <c r="A6" s="27" t="s">
        <v>42</v>
      </c>
      <c r="B6" s="13">
        <f t="shared" si="0"/>
        <v>1</v>
      </c>
      <c r="C6" s="6">
        <v>3</v>
      </c>
    </row>
    <row r="7" spans="1:3" x14ac:dyDescent="0.25">
      <c r="A7" s="27" t="s">
        <v>1</v>
      </c>
      <c r="B7" s="13">
        <f t="shared" si="0"/>
        <v>1</v>
      </c>
      <c r="C7" s="6">
        <v>4</v>
      </c>
    </row>
    <row r="8" spans="1:3" x14ac:dyDescent="0.25">
      <c r="A8" s="27" t="s">
        <v>43</v>
      </c>
      <c r="B8" s="13">
        <f t="shared" si="0"/>
        <v>1</v>
      </c>
      <c r="C8" s="6">
        <v>5</v>
      </c>
    </row>
    <row r="9" spans="1:3" s="1" customFormat="1" ht="15.75" thickBot="1" x14ac:dyDescent="0.3">
      <c r="A9" s="28" t="s">
        <v>3</v>
      </c>
      <c r="B9" s="24">
        <f t="shared" si="0"/>
        <v>1</v>
      </c>
      <c r="C9" s="7">
        <v>6</v>
      </c>
    </row>
    <row r="10" spans="1:3" x14ac:dyDescent="0.25">
      <c r="A10" s="27" t="s">
        <v>40</v>
      </c>
      <c r="B10" s="13">
        <f>B2+1</f>
        <v>2</v>
      </c>
      <c r="C10" s="6">
        <f>C2</f>
        <v>7</v>
      </c>
    </row>
    <row r="11" spans="1:3" x14ac:dyDescent="0.25">
      <c r="A11" s="27" t="s">
        <v>44</v>
      </c>
      <c r="B11" s="13">
        <f t="shared" ref="B11:B75" si="1">B3+1</f>
        <v>2</v>
      </c>
      <c r="C11" s="6">
        <f>C3</f>
        <v>8</v>
      </c>
    </row>
    <row r="12" spans="1:3" x14ac:dyDescent="0.25">
      <c r="A12" s="27" t="s">
        <v>4</v>
      </c>
      <c r="B12" s="13">
        <f t="shared" si="1"/>
        <v>2</v>
      </c>
      <c r="C12" s="6">
        <f t="shared" ref="C12:C17" si="2">C4</f>
        <v>1</v>
      </c>
    </row>
    <row r="13" spans="1:3" x14ac:dyDescent="0.25">
      <c r="A13" s="27" t="s">
        <v>13</v>
      </c>
      <c r="B13" s="13">
        <f t="shared" si="1"/>
        <v>2</v>
      </c>
      <c r="C13" s="6">
        <f t="shared" si="2"/>
        <v>2</v>
      </c>
    </row>
    <row r="14" spans="1:3" x14ac:dyDescent="0.25">
      <c r="A14" s="29" t="s">
        <v>45</v>
      </c>
      <c r="B14" s="13">
        <f t="shared" si="1"/>
        <v>2</v>
      </c>
      <c r="C14" s="6">
        <f t="shared" si="2"/>
        <v>3</v>
      </c>
    </row>
    <row r="15" spans="1:3" x14ac:dyDescent="0.25">
      <c r="A15" s="29" t="s">
        <v>41</v>
      </c>
      <c r="B15" s="13">
        <f t="shared" si="1"/>
        <v>2</v>
      </c>
      <c r="C15" s="6">
        <f t="shared" si="2"/>
        <v>4</v>
      </c>
    </row>
    <row r="16" spans="1:3" x14ac:dyDescent="0.25">
      <c r="A16" s="29" t="s">
        <v>46</v>
      </c>
      <c r="B16" s="13">
        <f t="shared" si="1"/>
        <v>2</v>
      </c>
      <c r="C16" s="6">
        <f t="shared" si="2"/>
        <v>5</v>
      </c>
    </row>
    <row r="17" spans="1:3" s="1" customFormat="1" ht="15.75" thickBot="1" x14ac:dyDescent="0.3">
      <c r="A17" s="30" t="s">
        <v>54</v>
      </c>
      <c r="B17" s="24">
        <f t="shared" si="1"/>
        <v>2</v>
      </c>
      <c r="C17" s="7">
        <f t="shared" si="2"/>
        <v>6</v>
      </c>
    </row>
    <row r="18" spans="1:3" x14ac:dyDescent="0.25">
      <c r="A18" s="27" t="s">
        <v>47</v>
      </c>
      <c r="B18" s="13">
        <f>B10+1</f>
        <v>3</v>
      </c>
      <c r="C18" s="6">
        <f>C10</f>
        <v>7</v>
      </c>
    </row>
    <row r="19" spans="1:3" x14ac:dyDescent="0.25">
      <c r="A19" s="27" t="s">
        <v>53</v>
      </c>
      <c r="B19" s="13">
        <f t="shared" si="1"/>
        <v>3</v>
      </c>
      <c r="C19" s="6">
        <f>C11</f>
        <v>8</v>
      </c>
    </row>
    <row r="20" spans="1:3" x14ac:dyDescent="0.25">
      <c r="A20" s="27" t="s">
        <v>50</v>
      </c>
      <c r="B20" s="13">
        <f t="shared" si="1"/>
        <v>3</v>
      </c>
      <c r="C20" s="6">
        <f t="shared" ref="C20:C25" si="3">C12</f>
        <v>1</v>
      </c>
    </row>
    <row r="21" spans="1:3" x14ac:dyDescent="0.25">
      <c r="A21" s="27" t="s">
        <v>52</v>
      </c>
      <c r="B21" s="13">
        <f t="shared" si="1"/>
        <v>3</v>
      </c>
      <c r="C21" s="6">
        <f t="shared" si="3"/>
        <v>2</v>
      </c>
    </row>
    <row r="22" spans="1:3" x14ac:dyDescent="0.25">
      <c r="A22" s="27" t="s">
        <v>49</v>
      </c>
      <c r="B22" s="13">
        <f t="shared" si="1"/>
        <v>3</v>
      </c>
      <c r="C22" s="6">
        <f t="shared" si="3"/>
        <v>3</v>
      </c>
    </row>
    <row r="23" spans="1:3" x14ac:dyDescent="0.25">
      <c r="A23" s="27" t="s">
        <v>48</v>
      </c>
      <c r="B23" s="13">
        <f t="shared" si="1"/>
        <v>3</v>
      </c>
      <c r="C23" s="6">
        <f t="shared" si="3"/>
        <v>4</v>
      </c>
    </row>
    <row r="24" spans="1:3" x14ac:dyDescent="0.25">
      <c r="A24" s="27" t="s">
        <v>51</v>
      </c>
      <c r="B24" s="13">
        <f t="shared" si="1"/>
        <v>3</v>
      </c>
      <c r="C24" s="6">
        <f t="shared" si="3"/>
        <v>5</v>
      </c>
    </row>
    <row r="25" spans="1:3" s="1" customFormat="1" ht="15.75" thickBot="1" x14ac:dyDescent="0.3">
      <c r="A25" s="28" t="s">
        <v>126</v>
      </c>
      <c r="B25" s="24">
        <f t="shared" si="1"/>
        <v>3</v>
      </c>
      <c r="C25" s="7">
        <f t="shared" si="3"/>
        <v>6</v>
      </c>
    </row>
    <row r="26" spans="1:3" x14ac:dyDescent="0.25">
      <c r="A26" s="27" t="s">
        <v>276</v>
      </c>
      <c r="B26" s="13">
        <f>B18+1</f>
        <v>4</v>
      </c>
      <c r="C26" s="6">
        <f>C18</f>
        <v>7</v>
      </c>
    </row>
    <row r="27" spans="1:3" x14ac:dyDescent="0.25">
      <c r="A27" s="27" t="s">
        <v>127</v>
      </c>
      <c r="B27" s="13">
        <f t="shared" si="1"/>
        <v>4</v>
      </c>
      <c r="C27" s="6">
        <f>C19</f>
        <v>8</v>
      </c>
    </row>
    <row r="28" spans="1:3" x14ac:dyDescent="0.25">
      <c r="A28" s="27" t="s">
        <v>277</v>
      </c>
      <c r="B28" s="13">
        <f t="shared" si="1"/>
        <v>4</v>
      </c>
      <c r="C28" s="6">
        <f t="shared" ref="C28:C33" si="4">C20</f>
        <v>1</v>
      </c>
    </row>
    <row r="29" spans="1:3" x14ac:dyDescent="0.25">
      <c r="A29" s="27" t="s">
        <v>128</v>
      </c>
      <c r="B29" s="13">
        <f t="shared" si="1"/>
        <v>4</v>
      </c>
      <c r="C29" s="6">
        <f t="shared" si="4"/>
        <v>2</v>
      </c>
    </row>
    <row r="30" spans="1:3" x14ac:dyDescent="0.25">
      <c r="A30" s="27" t="s">
        <v>278</v>
      </c>
      <c r="B30" s="13">
        <f t="shared" si="1"/>
        <v>4</v>
      </c>
      <c r="C30" s="6">
        <f t="shared" si="4"/>
        <v>3</v>
      </c>
    </row>
    <row r="31" spans="1:3" x14ac:dyDescent="0.25">
      <c r="A31" s="27" t="s">
        <v>129</v>
      </c>
      <c r="B31" s="13">
        <f t="shared" si="1"/>
        <v>4</v>
      </c>
      <c r="C31" s="6">
        <f t="shared" si="4"/>
        <v>4</v>
      </c>
    </row>
    <row r="32" spans="1:3" x14ac:dyDescent="0.25">
      <c r="A32" s="27" t="s">
        <v>279</v>
      </c>
      <c r="B32" s="13">
        <f t="shared" si="1"/>
        <v>4</v>
      </c>
      <c r="C32" s="6">
        <f t="shared" si="4"/>
        <v>5</v>
      </c>
    </row>
    <row r="33" spans="1:3" s="1" customFormat="1" ht="15.75" thickBot="1" x14ac:dyDescent="0.3">
      <c r="A33" s="28" t="s">
        <v>130</v>
      </c>
      <c r="B33" s="24">
        <f t="shared" si="1"/>
        <v>4</v>
      </c>
      <c r="C33" s="7">
        <f t="shared" si="4"/>
        <v>6</v>
      </c>
    </row>
    <row r="34" spans="1:3" x14ac:dyDescent="0.25">
      <c r="A34" s="29" t="s">
        <v>280</v>
      </c>
      <c r="B34" s="13">
        <f>B26+1</f>
        <v>5</v>
      </c>
      <c r="C34" s="6">
        <f>C26</f>
        <v>7</v>
      </c>
    </row>
    <row r="35" spans="1:3" x14ac:dyDescent="0.25">
      <c r="A35" s="29" t="s">
        <v>131</v>
      </c>
      <c r="B35" s="13">
        <f t="shared" si="1"/>
        <v>5</v>
      </c>
      <c r="C35" s="6">
        <f>C27</f>
        <v>8</v>
      </c>
    </row>
    <row r="36" spans="1:3" x14ac:dyDescent="0.25">
      <c r="A36" s="29" t="s">
        <v>281</v>
      </c>
      <c r="B36" s="13">
        <f t="shared" si="1"/>
        <v>5</v>
      </c>
      <c r="C36" s="6">
        <f t="shared" ref="C36:C41" si="5">C28</f>
        <v>1</v>
      </c>
    </row>
    <row r="37" spans="1:3" x14ac:dyDescent="0.25">
      <c r="A37" s="29" t="s">
        <v>132</v>
      </c>
      <c r="B37" s="13">
        <f t="shared" si="1"/>
        <v>5</v>
      </c>
      <c r="C37" s="6">
        <f t="shared" si="5"/>
        <v>2</v>
      </c>
    </row>
    <row r="38" spans="1:3" x14ac:dyDescent="0.25">
      <c r="A38" s="29" t="s">
        <v>282</v>
      </c>
      <c r="B38" s="13">
        <f t="shared" si="1"/>
        <v>5</v>
      </c>
      <c r="C38" s="6">
        <f t="shared" si="5"/>
        <v>3</v>
      </c>
    </row>
    <row r="39" spans="1:3" x14ac:dyDescent="0.25">
      <c r="A39" s="29" t="s">
        <v>133</v>
      </c>
      <c r="B39" s="13">
        <f t="shared" si="1"/>
        <v>5</v>
      </c>
      <c r="C39" s="6">
        <f t="shared" si="5"/>
        <v>4</v>
      </c>
    </row>
    <row r="40" spans="1:3" x14ac:dyDescent="0.25">
      <c r="A40" s="29" t="s">
        <v>134</v>
      </c>
      <c r="B40" s="13">
        <f t="shared" si="1"/>
        <v>5</v>
      </c>
      <c r="C40" s="6">
        <f t="shared" si="5"/>
        <v>5</v>
      </c>
    </row>
    <row r="41" spans="1:3" s="1" customFormat="1" ht="15.75" thickBot="1" x14ac:dyDescent="0.3">
      <c r="A41" s="30" t="s">
        <v>135</v>
      </c>
      <c r="B41" s="24">
        <f t="shared" si="1"/>
        <v>5</v>
      </c>
      <c r="C41" s="7">
        <f t="shared" si="5"/>
        <v>6</v>
      </c>
    </row>
    <row r="42" spans="1:3" x14ac:dyDescent="0.25">
      <c r="A42" s="29" t="s">
        <v>136</v>
      </c>
      <c r="B42" s="13">
        <f>B34+1</f>
        <v>6</v>
      </c>
      <c r="C42" s="6">
        <f>C34</f>
        <v>7</v>
      </c>
    </row>
    <row r="43" spans="1:3" x14ac:dyDescent="0.25">
      <c r="A43" s="29" t="s">
        <v>137</v>
      </c>
      <c r="B43" s="13">
        <f t="shared" si="1"/>
        <v>6</v>
      </c>
      <c r="C43" s="6">
        <f>C35</f>
        <v>8</v>
      </c>
    </row>
    <row r="44" spans="1:3" x14ac:dyDescent="0.25">
      <c r="A44" s="29" t="s">
        <v>138</v>
      </c>
      <c r="B44" s="13">
        <f t="shared" si="1"/>
        <v>6</v>
      </c>
      <c r="C44" s="6">
        <f t="shared" ref="C44:C49" si="6">C36</f>
        <v>1</v>
      </c>
    </row>
    <row r="45" spans="1:3" x14ac:dyDescent="0.25">
      <c r="A45" s="29" t="s">
        <v>139</v>
      </c>
      <c r="B45" s="13">
        <f t="shared" si="1"/>
        <v>6</v>
      </c>
      <c r="C45" s="6">
        <f t="shared" si="6"/>
        <v>2</v>
      </c>
    </row>
    <row r="46" spans="1:3" x14ac:dyDescent="0.25">
      <c r="A46" s="29" t="s">
        <v>140</v>
      </c>
      <c r="B46" s="13">
        <f t="shared" si="1"/>
        <v>6</v>
      </c>
      <c r="C46" s="6">
        <f t="shared" si="6"/>
        <v>3</v>
      </c>
    </row>
    <row r="47" spans="1:3" x14ac:dyDescent="0.25">
      <c r="A47" s="29" t="s">
        <v>141</v>
      </c>
      <c r="B47" s="13">
        <f t="shared" si="1"/>
        <v>6</v>
      </c>
      <c r="C47" s="6">
        <f t="shared" si="6"/>
        <v>4</v>
      </c>
    </row>
    <row r="48" spans="1:3" x14ac:dyDescent="0.25">
      <c r="A48" s="29" t="s">
        <v>142</v>
      </c>
      <c r="B48" s="13">
        <f t="shared" si="1"/>
        <v>6</v>
      </c>
      <c r="C48" s="6">
        <f t="shared" si="6"/>
        <v>5</v>
      </c>
    </row>
    <row r="49" spans="1:3" s="1" customFormat="1" ht="15.75" thickBot="1" x14ac:dyDescent="0.3">
      <c r="A49" s="28" t="s">
        <v>143</v>
      </c>
      <c r="B49" s="24">
        <f t="shared" si="1"/>
        <v>6</v>
      </c>
      <c r="C49" s="7">
        <f t="shared" si="6"/>
        <v>6</v>
      </c>
    </row>
    <row r="50" spans="1:3" x14ac:dyDescent="0.25">
      <c r="A50" s="29" t="s">
        <v>283</v>
      </c>
      <c r="B50" s="13">
        <f>B42+1</f>
        <v>7</v>
      </c>
      <c r="C50" s="6">
        <f>C42</f>
        <v>7</v>
      </c>
    </row>
    <row r="51" spans="1:3" x14ac:dyDescent="0.25">
      <c r="A51" s="29" t="s">
        <v>144</v>
      </c>
      <c r="B51" s="13">
        <f t="shared" si="1"/>
        <v>7</v>
      </c>
      <c r="C51" s="6">
        <f>C43</f>
        <v>8</v>
      </c>
    </row>
    <row r="52" spans="1:3" x14ac:dyDescent="0.25">
      <c r="A52" s="29" t="s">
        <v>284</v>
      </c>
      <c r="B52" s="13">
        <f t="shared" si="1"/>
        <v>7</v>
      </c>
      <c r="C52" s="6">
        <f t="shared" ref="C52:C57" si="7">C44</f>
        <v>1</v>
      </c>
    </row>
    <row r="53" spans="1:3" x14ac:dyDescent="0.25">
      <c r="A53" s="29" t="s">
        <v>145</v>
      </c>
      <c r="B53" s="13">
        <f t="shared" si="1"/>
        <v>7</v>
      </c>
      <c r="C53" s="6">
        <f t="shared" si="7"/>
        <v>2</v>
      </c>
    </row>
    <row r="54" spans="1:3" x14ac:dyDescent="0.25">
      <c r="A54" s="29" t="s">
        <v>285</v>
      </c>
      <c r="B54" s="13">
        <f t="shared" si="1"/>
        <v>7</v>
      </c>
      <c r="C54" s="6">
        <f t="shared" si="7"/>
        <v>3</v>
      </c>
    </row>
    <row r="55" spans="1:3" x14ac:dyDescent="0.25">
      <c r="A55" s="29" t="s">
        <v>146</v>
      </c>
      <c r="B55" s="13">
        <f t="shared" si="1"/>
        <v>7</v>
      </c>
      <c r="C55" s="6">
        <f t="shared" si="7"/>
        <v>4</v>
      </c>
    </row>
    <row r="56" spans="1:3" x14ac:dyDescent="0.25">
      <c r="A56" s="29" t="s">
        <v>286</v>
      </c>
      <c r="B56" s="13">
        <f t="shared" si="1"/>
        <v>7</v>
      </c>
      <c r="C56" s="6">
        <f t="shared" si="7"/>
        <v>5</v>
      </c>
    </row>
    <row r="57" spans="1:3" s="1" customFormat="1" ht="15.75" thickBot="1" x14ac:dyDescent="0.3">
      <c r="A57" s="30" t="s">
        <v>147</v>
      </c>
      <c r="B57" s="24">
        <f t="shared" si="1"/>
        <v>7</v>
      </c>
      <c r="C57" s="7">
        <f t="shared" si="7"/>
        <v>6</v>
      </c>
    </row>
    <row r="58" spans="1:3" x14ac:dyDescent="0.25">
      <c r="A58" s="29" t="s">
        <v>287</v>
      </c>
      <c r="B58" s="13">
        <f>B50+1</f>
        <v>8</v>
      </c>
      <c r="C58" s="6">
        <f>C50</f>
        <v>7</v>
      </c>
    </row>
    <row r="59" spans="1:3" x14ac:dyDescent="0.25">
      <c r="A59" s="29" t="s">
        <v>148</v>
      </c>
      <c r="B59" s="13">
        <f t="shared" si="1"/>
        <v>8</v>
      </c>
      <c r="C59" s="6">
        <f>C51</f>
        <v>8</v>
      </c>
    </row>
    <row r="60" spans="1:3" x14ac:dyDescent="0.25">
      <c r="A60" s="29" t="s">
        <v>149</v>
      </c>
      <c r="B60" s="13">
        <f t="shared" si="1"/>
        <v>8</v>
      </c>
      <c r="C60" s="6">
        <f t="shared" ref="C60:C65" si="8">C52</f>
        <v>1</v>
      </c>
    </row>
    <row r="61" spans="1:3" x14ac:dyDescent="0.25">
      <c r="A61" s="29" t="s">
        <v>150</v>
      </c>
      <c r="B61" s="13">
        <f t="shared" si="1"/>
        <v>8</v>
      </c>
      <c r="C61" s="6">
        <f t="shared" si="8"/>
        <v>2</v>
      </c>
    </row>
    <row r="62" spans="1:3" x14ac:dyDescent="0.25">
      <c r="A62" s="29" t="s">
        <v>151</v>
      </c>
      <c r="B62" s="13">
        <f t="shared" si="1"/>
        <v>8</v>
      </c>
      <c r="C62" s="6">
        <f t="shared" si="8"/>
        <v>3</v>
      </c>
    </row>
    <row r="63" spans="1:3" x14ac:dyDescent="0.25">
      <c r="A63" s="29" t="s">
        <v>152</v>
      </c>
      <c r="B63" s="13">
        <f t="shared" si="1"/>
        <v>8</v>
      </c>
      <c r="C63" s="6">
        <f t="shared" si="8"/>
        <v>4</v>
      </c>
    </row>
    <row r="64" spans="1:3" x14ac:dyDescent="0.25">
      <c r="A64" s="29" t="s">
        <v>288</v>
      </c>
      <c r="B64" s="13">
        <f t="shared" si="1"/>
        <v>8</v>
      </c>
      <c r="C64" s="6">
        <f t="shared" si="8"/>
        <v>5</v>
      </c>
    </row>
    <row r="65" spans="1:3" s="1" customFormat="1" ht="15.75" thickBot="1" x14ac:dyDescent="0.3">
      <c r="A65" s="28" t="s">
        <v>153</v>
      </c>
      <c r="B65" s="24">
        <f t="shared" si="1"/>
        <v>8</v>
      </c>
      <c r="C65" s="7">
        <f t="shared" si="8"/>
        <v>6</v>
      </c>
    </row>
    <row r="66" spans="1:3" x14ac:dyDescent="0.25">
      <c r="A66" s="29" t="s">
        <v>289</v>
      </c>
      <c r="B66" s="13">
        <f>B58+1</f>
        <v>9</v>
      </c>
      <c r="C66" s="6">
        <f>C58</f>
        <v>7</v>
      </c>
    </row>
    <row r="67" spans="1:3" x14ac:dyDescent="0.25">
      <c r="A67" s="29" t="s">
        <v>154</v>
      </c>
      <c r="B67" s="13">
        <f t="shared" si="1"/>
        <v>9</v>
      </c>
      <c r="C67" s="6">
        <f>C59</f>
        <v>8</v>
      </c>
    </row>
    <row r="68" spans="1:3" x14ac:dyDescent="0.25">
      <c r="A68" s="29" t="s">
        <v>155</v>
      </c>
      <c r="B68" s="13">
        <f t="shared" si="1"/>
        <v>9</v>
      </c>
      <c r="C68" s="6">
        <f t="shared" ref="C68:C73" si="9">C60</f>
        <v>1</v>
      </c>
    </row>
    <row r="69" spans="1:3" x14ac:dyDescent="0.25">
      <c r="A69" s="29" t="s">
        <v>156</v>
      </c>
      <c r="B69" s="13">
        <f t="shared" si="1"/>
        <v>9</v>
      </c>
      <c r="C69" s="6">
        <f t="shared" si="9"/>
        <v>2</v>
      </c>
    </row>
    <row r="70" spans="1:3" x14ac:dyDescent="0.25">
      <c r="A70" s="29" t="s">
        <v>157</v>
      </c>
      <c r="B70" s="13">
        <f t="shared" si="1"/>
        <v>9</v>
      </c>
      <c r="C70" s="6">
        <f t="shared" si="9"/>
        <v>3</v>
      </c>
    </row>
    <row r="71" spans="1:3" x14ac:dyDescent="0.25">
      <c r="A71" s="29" t="s">
        <v>158</v>
      </c>
      <c r="B71" s="13">
        <f t="shared" si="1"/>
        <v>9</v>
      </c>
      <c r="C71" s="6">
        <f t="shared" si="9"/>
        <v>4</v>
      </c>
    </row>
    <row r="72" spans="1:3" x14ac:dyDescent="0.25">
      <c r="A72" s="29" t="s">
        <v>290</v>
      </c>
      <c r="B72" s="13">
        <f t="shared" si="1"/>
        <v>9</v>
      </c>
      <c r="C72" s="6">
        <f t="shared" si="9"/>
        <v>5</v>
      </c>
    </row>
    <row r="73" spans="1:3" s="1" customFormat="1" ht="15.75" thickBot="1" x14ac:dyDescent="0.3">
      <c r="A73" s="30" t="s">
        <v>291</v>
      </c>
      <c r="B73" s="24">
        <f t="shared" si="1"/>
        <v>9</v>
      </c>
      <c r="C73" s="7">
        <f t="shared" si="9"/>
        <v>6</v>
      </c>
    </row>
    <row r="74" spans="1:3" x14ac:dyDescent="0.25">
      <c r="A74" s="29" t="s">
        <v>159</v>
      </c>
      <c r="B74" s="13">
        <f>B66+1</f>
        <v>10</v>
      </c>
      <c r="C74" s="6">
        <f>C66</f>
        <v>7</v>
      </c>
    </row>
    <row r="75" spans="1:3" x14ac:dyDescent="0.25">
      <c r="A75" s="29" t="s">
        <v>160</v>
      </c>
      <c r="B75" s="13">
        <f t="shared" si="1"/>
        <v>10</v>
      </c>
      <c r="C75" s="6">
        <f>C67</f>
        <v>8</v>
      </c>
    </row>
    <row r="76" spans="1:3" x14ac:dyDescent="0.25">
      <c r="A76" s="29" t="s">
        <v>161</v>
      </c>
      <c r="B76" s="13">
        <f t="shared" ref="B76:B81" si="10">B68+1</f>
        <v>10</v>
      </c>
      <c r="C76" s="6">
        <f t="shared" ref="C76:C81" si="11">C68</f>
        <v>1</v>
      </c>
    </row>
    <row r="77" spans="1:3" x14ac:dyDescent="0.25">
      <c r="A77" s="29" t="s">
        <v>162</v>
      </c>
      <c r="B77" s="13">
        <f t="shared" si="10"/>
        <v>10</v>
      </c>
      <c r="C77" s="6">
        <f t="shared" si="11"/>
        <v>2</v>
      </c>
    </row>
    <row r="78" spans="1:3" x14ac:dyDescent="0.25">
      <c r="A78" s="29" t="s">
        <v>163</v>
      </c>
      <c r="B78" s="13">
        <f t="shared" si="10"/>
        <v>10</v>
      </c>
      <c r="C78" s="6">
        <f t="shared" si="11"/>
        <v>3</v>
      </c>
    </row>
    <row r="79" spans="1:3" x14ac:dyDescent="0.25">
      <c r="A79" s="29" t="s">
        <v>164</v>
      </c>
      <c r="B79" s="13">
        <f t="shared" si="10"/>
        <v>10</v>
      </c>
      <c r="C79" s="6">
        <f t="shared" si="11"/>
        <v>4</v>
      </c>
    </row>
    <row r="80" spans="1:3" x14ac:dyDescent="0.25">
      <c r="A80" s="29" t="s">
        <v>171</v>
      </c>
      <c r="B80" s="13">
        <f t="shared" si="10"/>
        <v>10</v>
      </c>
      <c r="C80" s="6">
        <f t="shared" si="11"/>
        <v>5</v>
      </c>
    </row>
    <row r="81" spans="1:3" s="1" customFormat="1" ht="15.75" thickBot="1" x14ac:dyDescent="0.3">
      <c r="A81" s="30" t="s">
        <v>171</v>
      </c>
      <c r="B81" s="24">
        <f t="shared" si="10"/>
        <v>10</v>
      </c>
      <c r="C81" s="7">
        <f t="shared" si="11"/>
        <v>6</v>
      </c>
    </row>
    <row r="82" spans="1:3" x14ac:dyDescent="0.25">
      <c r="B82" s="13"/>
    </row>
    <row r="83" spans="1:3" x14ac:dyDescent="0.25">
      <c r="B83" s="13"/>
    </row>
    <row r="84" spans="1:3" x14ac:dyDescent="0.25">
      <c r="B84" s="13"/>
    </row>
    <row r="85" spans="1:3" x14ac:dyDescent="0.25">
      <c r="B85" s="13"/>
    </row>
    <row r="86" spans="1:3" x14ac:dyDescent="0.25">
      <c r="B86" s="13"/>
    </row>
    <row r="87" spans="1:3" x14ac:dyDescent="0.25">
      <c r="B87" s="13"/>
    </row>
    <row r="88" spans="1:3" x14ac:dyDescent="0.25">
      <c r="B88" s="13"/>
    </row>
    <row r="89" spans="1:3" s="1" customFormat="1" ht="15.75" thickBot="1" x14ac:dyDescent="0.3">
      <c r="A89" s="30"/>
      <c r="B89" s="24"/>
      <c r="C89" s="7"/>
    </row>
    <row r="90" spans="1:3" x14ac:dyDescent="0.25">
      <c r="B90" s="13"/>
    </row>
    <row r="91" spans="1:3" x14ac:dyDescent="0.25">
      <c r="B91" s="13"/>
    </row>
    <row r="92" spans="1:3" x14ac:dyDescent="0.25">
      <c r="B92" s="13"/>
    </row>
    <row r="93" spans="1:3" x14ac:dyDescent="0.25">
      <c r="B93" s="13"/>
    </row>
    <row r="94" spans="1:3" x14ac:dyDescent="0.25">
      <c r="B94" s="13"/>
    </row>
    <row r="95" spans="1:3" x14ac:dyDescent="0.25">
      <c r="B95" s="13"/>
    </row>
    <row r="96" spans="1:3" x14ac:dyDescent="0.25">
      <c r="B96" s="13"/>
    </row>
    <row r="97" spans="1:3" s="1" customFormat="1" ht="15.75" thickBot="1" x14ac:dyDescent="0.3">
      <c r="A97" s="28"/>
      <c r="B97" s="24"/>
      <c r="C97" s="7"/>
    </row>
    <row r="98" spans="1:3" x14ac:dyDescent="0.25">
      <c r="B98" s="25"/>
    </row>
    <row r="99" spans="1:3" x14ac:dyDescent="0.25">
      <c r="B99" s="13"/>
    </row>
    <row r="100" spans="1:3" x14ac:dyDescent="0.25">
      <c r="B100" s="13"/>
    </row>
    <row r="101" spans="1:3" x14ac:dyDescent="0.25">
      <c r="B101" s="13"/>
    </row>
    <row r="102" spans="1:3" x14ac:dyDescent="0.25">
      <c r="B102" s="13"/>
    </row>
    <row r="103" spans="1:3" x14ac:dyDescent="0.25">
      <c r="B103" s="13"/>
    </row>
    <row r="104" spans="1:3" x14ac:dyDescent="0.25">
      <c r="B104" s="13"/>
    </row>
    <row r="105" spans="1:3" s="1" customFormat="1" ht="15.75" thickBot="1" x14ac:dyDescent="0.3">
      <c r="A105" s="30"/>
      <c r="B105" s="24"/>
      <c r="C105" s="7"/>
    </row>
    <row r="106" spans="1:3" x14ac:dyDescent="0.25">
      <c r="B106" s="13"/>
    </row>
    <row r="107" spans="1:3" x14ac:dyDescent="0.25">
      <c r="B107" s="13"/>
    </row>
    <row r="108" spans="1:3" x14ac:dyDescent="0.25">
      <c r="B108" s="13"/>
    </row>
    <row r="109" spans="1:3" x14ac:dyDescent="0.25">
      <c r="B109" s="13"/>
    </row>
    <row r="110" spans="1:3" x14ac:dyDescent="0.25">
      <c r="B110" s="13"/>
    </row>
    <row r="111" spans="1:3" x14ac:dyDescent="0.25">
      <c r="B111" s="13"/>
    </row>
    <row r="112" spans="1:3" s="1" customFormat="1" ht="15.75" thickBot="1" x14ac:dyDescent="0.3">
      <c r="A112" s="30"/>
      <c r="B112" s="24"/>
      <c r="C112" s="7"/>
    </row>
    <row r="113" spans="1:3" x14ac:dyDescent="0.25">
      <c r="A113" s="27"/>
      <c r="B113" s="13"/>
    </row>
    <row r="114" spans="1:3" x14ac:dyDescent="0.25">
      <c r="B114" s="13"/>
    </row>
    <row r="115" spans="1:3" x14ac:dyDescent="0.25">
      <c r="B115" s="13"/>
    </row>
    <row r="116" spans="1:3" x14ac:dyDescent="0.25">
      <c r="B116" s="13"/>
    </row>
    <row r="117" spans="1:3" x14ac:dyDescent="0.25">
      <c r="B117" s="13"/>
    </row>
    <row r="118" spans="1:3" x14ac:dyDescent="0.25">
      <c r="B118" s="13"/>
    </row>
    <row r="119" spans="1:3" x14ac:dyDescent="0.25">
      <c r="B119" s="13"/>
    </row>
    <row r="120" spans="1:3" x14ac:dyDescent="0.25">
      <c r="B120" s="13"/>
    </row>
    <row r="121" spans="1:3" x14ac:dyDescent="0.25">
      <c r="B121" s="13"/>
    </row>
    <row r="122" spans="1:3" x14ac:dyDescent="0.25">
      <c r="B122" s="13"/>
    </row>
    <row r="123" spans="1:3" x14ac:dyDescent="0.25">
      <c r="B123" s="13"/>
    </row>
    <row r="124" spans="1:3" x14ac:dyDescent="0.25">
      <c r="B124" s="13"/>
    </row>
    <row r="125" spans="1:3" x14ac:dyDescent="0.25">
      <c r="B125" s="13"/>
    </row>
    <row r="126" spans="1:3" x14ac:dyDescent="0.25">
      <c r="B126" s="13"/>
    </row>
    <row r="127" spans="1:3" x14ac:dyDescent="0.25">
      <c r="B127" s="13"/>
    </row>
    <row r="128" spans="1:3" s="1" customFormat="1" ht="15.75" thickBot="1" x14ac:dyDescent="0.3">
      <c r="A128" s="30"/>
      <c r="B128" s="24"/>
      <c r="C128" s="7"/>
    </row>
    <row r="129" spans="1:3" x14ac:dyDescent="0.25">
      <c r="A129" s="27"/>
      <c r="B129" s="13"/>
    </row>
    <row r="130" spans="1:3" x14ac:dyDescent="0.25">
      <c r="B130" s="13"/>
    </row>
    <row r="131" spans="1:3" x14ac:dyDescent="0.25">
      <c r="B131" s="13"/>
    </row>
    <row r="132" spans="1:3" x14ac:dyDescent="0.25">
      <c r="B132" s="13"/>
    </row>
    <row r="133" spans="1:3" x14ac:dyDescent="0.25">
      <c r="B133" s="13"/>
    </row>
    <row r="134" spans="1:3" x14ac:dyDescent="0.25">
      <c r="B134" s="13"/>
    </row>
    <row r="135" spans="1:3" x14ac:dyDescent="0.25">
      <c r="B135" s="13"/>
    </row>
    <row r="136" spans="1:3" x14ac:dyDescent="0.25">
      <c r="B136" s="13"/>
    </row>
    <row r="137" spans="1:3" x14ac:dyDescent="0.25">
      <c r="B137" s="13"/>
    </row>
    <row r="138" spans="1:3" x14ac:dyDescent="0.25">
      <c r="B138" s="13"/>
    </row>
    <row r="139" spans="1:3" x14ac:dyDescent="0.25">
      <c r="B139" s="13"/>
    </row>
    <row r="140" spans="1:3" x14ac:dyDescent="0.25">
      <c r="B140" s="13"/>
    </row>
    <row r="141" spans="1:3" x14ac:dyDescent="0.25">
      <c r="B141" s="13"/>
    </row>
    <row r="142" spans="1:3" x14ac:dyDescent="0.25">
      <c r="B142" s="13"/>
    </row>
    <row r="143" spans="1:3" x14ac:dyDescent="0.25">
      <c r="B143" s="13"/>
    </row>
    <row r="144" spans="1:3" s="1" customFormat="1" ht="15.75" thickBot="1" x14ac:dyDescent="0.3">
      <c r="A144" s="30"/>
      <c r="B144" s="24"/>
      <c r="C144" s="7"/>
    </row>
    <row r="145" spans="1:3" x14ac:dyDescent="0.25">
      <c r="A145" s="27"/>
      <c r="B145" s="13"/>
    </row>
    <row r="146" spans="1:3" x14ac:dyDescent="0.25">
      <c r="B146" s="13"/>
    </row>
    <row r="147" spans="1:3" x14ac:dyDescent="0.25">
      <c r="B147" s="13"/>
    </row>
    <row r="148" spans="1:3" x14ac:dyDescent="0.25">
      <c r="B148" s="13"/>
    </row>
    <row r="149" spans="1:3" x14ac:dyDescent="0.25">
      <c r="B149" s="13"/>
    </row>
    <row r="150" spans="1:3" x14ac:dyDescent="0.25">
      <c r="B150" s="13"/>
    </row>
    <row r="151" spans="1:3" x14ac:dyDescent="0.25">
      <c r="B151" s="13"/>
    </row>
    <row r="152" spans="1:3" x14ac:dyDescent="0.25">
      <c r="B152" s="13"/>
    </row>
    <row r="153" spans="1:3" x14ac:dyDescent="0.25">
      <c r="B153" s="13"/>
    </row>
    <row r="154" spans="1:3" x14ac:dyDescent="0.25">
      <c r="B154" s="13"/>
    </row>
    <row r="155" spans="1:3" x14ac:dyDescent="0.25">
      <c r="B155" s="13"/>
    </row>
    <row r="156" spans="1:3" x14ac:dyDescent="0.25">
      <c r="B156" s="13"/>
    </row>
    <row r="157" spans="1:3" x14ac:dyDescent="0.25">
      <c r="B157" s="13"/>
    </row>
    <row r="158" spans="1:3" x14ac:dyDescent="0.25">
      <c r="B158" s="13"/>
    </row>
    <row r="159" spans="1:3" x14ac:dyDescent="0.25">
      <c r="B159" s="13"/>
    </row>
    <row r="160" spans="1:3" s="1" customFormat="1" ht="15.75" thickBot="1" x14ac:dyDescent="0.3">
      <c r="A160" s="30"/>
      <c r="B160" s="24"/>
      <c r="C160" s="7"/>
    </row>
    <row r="161" spans="1:3" x14ac:dyDescent="0.25">
      <c r="A161" s="27"/>
      <c r="B161" s="13"/>
    </row>
    <row r="162" spans="1:3" x14ac:dyDescent="0.25">
      <c r="B162" s="13"/>
    </row>
    <row r="163" spans="1:3" x14ac:dyDescent="0.25">
      <c r="B163" s="13"/>
    </row>
    <row r="164" spans="1:3" x14ac:dyDescent="0.25">
      <c r="B164" s="13"/>
    </row>
    <row r="165" spans="1:3" x14ac:dyDescent="0.25">
      <c r="B165" s="13"/>
    </row>
    <row r="166" spans="1:3" x14ac:dyDescent="0.25">
      <c r="B166" s="13"/>
    </row>
    <row r="167" spans="1:3" x14ac:dyDescent="0.25">
      <c r="B167" s="13"/>
    </row>
    <row r="168" spans="1:3" x14ac:dyDescent="0.25">
      <c r="B168" s="13"/>
    </row>
    <row r="169" spans="1:3" x14ac:dyDescent="0.25">
      <c r="B169" s="13"/>
    </row>
    <row r="170" spans="1:3" x14ac:dyDescent="0.25">
      <c r="B170" s="13"/>
    </row>
    <row r="171" spans="1:3" x14ac:dyDescent="0.25">
      <c r="B171" s="13"/>
    </row>
    <row r="172" spans="1:3" x14ac:dyDescent="0.25">
      <c r="B172" s="13"/>
    </row>
    <row r="173" spans="1:3" x14ac:dyDescent="0.25">
      <c r="B173" s="13"/>
    </row>
    <row r="174" spans="1:3" x14ac:dyDescent="0.25">
      <c r="B174" s="13"/>
    </row>
    <row r="175" spans="1:3" x14ac:dyDescent="0.25">
      <c r="B175" s="13"/>
    </row>
    <row r="176" spans="1:3" s="1" customFormat="1" ht="15.75" thickBot="1" x14ac:dyDescent="0.3">
      <c r="A176" s="30"/>
      <c r="B176" s="24"/>
      <c r="C176" s="7"/>
    </row>
    <row r="177" spans="1:3" x14ac:dyDescent="0.25">
      <c r="A177" s="27"/>
      <c r="B177" s="13"/>
    </row>
    <row r="178" spans="1:3" x14ac:dyDescent="0.25">
      <c r="B178" s="13"/>
    </row>
    <row r="179" spans="1:3" x14ac:dyDescent="0.25">
      <c r="B179" s="13"/>
    </row>
    <row r="180" spans="1:3" x14ac:dyDescent="0.25">
      <c r="B180" s="13"/>
    </row>
    <row r="181" spans="1:3" x14ac:dyDescent="0.25">
      <c r="B181" s="13"/>
    </row>
    <row r="182" spans="1:3" x14ac:dyDescent="0.25">
      <c r="B182" s="13"/>
    </row>
    <row r="183" spans="1:3" x14ac:dyDescent="0.25">
      <c r="B183" s="13"/>
    </row>
    <row r="184" spans="1:3" x14ac:dyDescent="0.25">
      <c r="B184" s="13"/>
    </row>
    <row r="185" spans="1:3" x14ac:dyDescent="0.25">
      <c r="B185" s="13"/>
    </row>
    <row r="186" spans="1:3" x14ac:dyDescent="0.25">
      <c r="B186" s="13"/>
    </row>
    <row r="187" spans="1:3" x14ac:dyDescent="0.25">
      <c r="B187" s="13"/>
    </row>
    <row r="188" spans="1:3" x14ac:dyDescent="0.25">
      <c r="B188" s="13"/>
    </row>
    <row r="189" spans="1:3" x14ac:dyDescent="0.25">
      <c r="B189" s="13"/>
    </row>
    <row r="190" spans="1:3" x14ac:dyDescent="0.25">
      <c r="B190" s="13"/>
    </row>
    <row r="191" spans="1:3" x14ac:dyDescent="0.25">
      <c r="B191" s="13"/>
    </row>
    <row r="192" spans="1:3" s="1" customFormat="1" ht="15.75" thickBot="1" x14ac:dyDescent="0.3">
      <c r="A192" s="30"/>
      <c r="B192" s="24"/>
      <c r="C192" s="7"/>
    </row>
    <row r="193" spans="1:3" x14ac:dyDescent="0.25">
      <c r="A193" s="27"/>
      <c r="B193" s="13"/>
    </row>
    <row r="194" spans="1:3" x14ac:dyDescent="0.25">
      <c r="B194" s="13"/>
    </row>
    <row r="195" spans="1:3" x14ac:dyDescent="0.25">
      <c r="B195" s="13"/>
    </row>
    <row r="196" spans="1:3" x14ac:dyDescent="0.25">
      <c r="B196" s="13"/>
    </row>
    <row r="197" spans="1:3" x14ac:dyDescent="0.25">
      <c r="B197" s="13"/>
    </row>
    <row r="198" spans="1:3" x14ac:dyDescent="0.25">
      <c r="B198" s="13"/>
    </row>
    <row r="199" spans="1:3" x14ac:dyDescent="0.25">
      <c r="B199" s="13"/>
    </row>
    <row r="200" spans="1:3" x14ac:dyDescent="0.25">
      <c r="B200" s="13"/>
    </row>
    <row r="201" spans="1:3" x14ac:dyDescent="0.25">
      <c r="B201" s="13"/>
    </row>
    <row r="202" spans="1:3" x14ac:dyDescent="0.25">
      <c r="B202" s="13"/>
    </row>
    <row r="203" spans="1:3" x14ac:dyDescent="0.25">
      <c r="B203" s="13"/>
    </row>
    <row r="204" spans="1:3" x14ac:dyDescent="0.25">
      <c r="B204" s="13"/>
    </row>
    <row r="205" spans="1:3" x14ac:dyDescent="0.25">
      <c r="B205" s="13"/>
    </row>
    <row r="206" spans="1:3" x14ac:dyDescent="0.25">
      <c r="B206" s="13"/>
    </row>
    <row r="207" spans="1:3" x14ac:dyDescent="0.25">
      <c r="B207" s="13"/>
    </row>
    <row r="208" spans="1:3" s="1" customFormat="1" ht="15.75" thickBot="1" x14ac:dyDescent="0.3">
      <c r="A208" s="30"/>
      <c r="B208" s="24"/>
      <c r="C208" s="7"/>
    </row>
    <row r="209" spans="1:3" x14ac:dyDescent="0.25">
      <c r="A209" s="27"/>
      <c r="B209" s="42"/>
    </row>
    <row r="210" spans="1:3" x14ac:dyDescent="0.25">
      <c r="B210" s="42"/>
    </row>
    <row r="211" spans="1:3" x14ac:dyDescent="0.25">
      <c r="B211" s="42"/>
    </row>
    <row r="212" spans="1:3" x14ac:dyDescent="0.25">
      <c r="B212" s="42"/>
    </row>
    <row r="213" spans="1:3" x14ac:dyDescent="0.25">
      <c r="B213" s="42"/>
    </row>
    <row r="214" spans="1:3" x14ac:dyDescent="0.25">
      <c r="B214" s="42"/>
    </row>
    <row r="215" spans="1:3" x14ac:dyDescent="0.25">
      <c r="B215" s="42"/>
    </row>
    <row r="216" spans="1:3" x14ac:dyDescent="0.25">
      <c r="B216" s="42"/>
    </row>
    <row r="217" spans="1:3" x14ac:dyDescent="0.25">
      <c r="B217" s="42"/>
    </row>
    <row r="218" spans="1:3" x14ac:dyDescent="0.25">
      <c r="B218" s="42"/>
    </row>
    <row r="219" spans="1:3" x14ac:dyDescent="0.25">
      <c r="B219" s="42"/>
    </row>
    <row r="220" spans="1:3" x14ac:dyDescent="0.25">
      <c r="B220" s="42"/>
    </row>
    <row r="221" spans="1:3" x14ac:dyDescent="0.25">
      <c r="B221" s="42"/>
    </row>
    <row r="222" spans="1:3" x14ac:dyDescent="0.25">
      <c r="B222" s="42"/>
    </row>
    <row r="223" spans="1:3" x14ac:dyDescent="0.25">
      <c r="B223" s="42"/>
    </row>
    <row r="224" spans="1:3" s="1" customFormat="1" ht="15.75" thickBot="1" x14ac:dyDescent="0.3">
      <c r="A224" s="30"/>
      <c r="B224" s="43"/>
      <c r="C224" s="7"/>
    </row>
    <row r="225" spans="1:3" x14ac:dyDescent="0.25">
      <c r="A225" s="27"/>
    </row>
    <row r="240" spans="1:3" s="1" customFormat="1" ht="15.75" thickBot="1" x14ac:dyDescent="0.3">
      <c r="A240" s="30"/>
      <c r="B240" s="7"/>
      <c r="C240" s="7"/>
    </row>
    <row r="241" spans="1:3" x14ac:dyDescent="0.25">
      <c r="A241" s="27"/>
    </row>
    <row r="256" spans="1:3" s="1" customFormat="1" ht="15.75" thickBot="1" x14ac:dyDescent="0.3">
      <c r="A256" s="30"/>
      <c r="B256" s="7"/>
      <c r="C256" s="7"/>
    </row>
    <row r="257" spans="1:3" x14ac:dyDescent="0.25">
      <c r="A257" s="27"/>
    </row>
    <row r="272" spans="1:3" s="1" customFormat="1" ht="15.75" thickBot="1" x14ac:dyDescent="0.3">
      <c r="A272" s="30"/>
      <c r="B272" s="7"/>
      <c r="C272" s="7"/>
    </row>
    <row r="273" spans="1:3" x14ac:dyDescent="0.25">
      <c r="A273" s="27"/>
    </row>
    <row r="288" spans="1:3" s="1" customFormat="1" ht="15.75" thickBot="1" x14ac:dyDescent="0.3">
      <c r="A288" s="30"/>
      <c r="B288" s="7"/>
      <c r="C288" s="7"/>
    </row>
    <row r="289" spans="1:3" x14ac:dyDescent="0.25">
      <c r="A289" s="27"/>
    </row>
    <row r="304" spans="1:3" s="1" customFormat="1" ht="15.75" thickBot="1" x14ac:dyDescent="0.3">
      <c r="A304" s="30"/>
      <c r="B304" s="7"/>
      <c r="C304" s="7"/>
    </row>
    <row r="305" spans="1:3" x14ac:dyDescent="0.25">
      <c r="A305" s="27"/>
    </row>
    <row r="320" spans="1:3" s="1" customFormat="1" ht="15.75" thickBot="1" x14ac:dyDescent="0.3">
      <c r="A320" s="30"/>
      <c r="B320" s="7"/>
      <c r="C320" s="7"/>
    </row>
    <row r="321" spans="1:3" x14ac:dyDescent="0.25">
      <c r="A321" s="27"/>
    </row>
    <row r="336" spans="1:3" s="1" customFormat="1" ht="15.75" thickBot="1" x14ac:dyDescent="0.3">
      <c r="A336" s="30"/>
      <c r="B336" s="7"/>
      <c r="C336" s="7"/>
    </row>
    <row r="337" spans="1:3" x14ac:dyDescent="0.25">
      <c r="A337" s="27"/>
    </row>
    <row r="352" spans="1:3" s="1" customFormat="1" ht="15.75" thickBot="1" x14ac:dyDescent="0.3">
      <c r="A352" s="30"/>
      <c r="B352" s="7"/>
      <c r="C352" s="7"/>
    </row>
    <row r="353" spans="1:3" x14ac:dyDescent="0.25">
      <c r="A353" s="27"/>
    </row>
    <row r="368" spans="1:3" s="1" customFormat="1" ht="15.75" thickBot="1" x14ac:dyDescent="0.3">
      <c r="A368" s="30"/>
      <c r="B368" s="7"/>
      <c r="C368" s="7"/>
    </row>
  </sheetData>
  <mergeCells count="1">
    <mergeCell ref="B209:B224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B6BC-FD37-4CC5-A679-A5551396DE01}">
  <dimension ref="A1:C29"/>
  <sheetViews>
    <sheetView zoomScale="115" zoomScaleNormal="115" workbookViewId="0">
      <selection activeCell="C24" sqref="C24"/>
    </sheetView>
  </sheetViews>
  <sheetFormatPr defaultRowHeight="15" x14ac:dyDescent="0.25"/>
  <cols>
    <col min="1" max="1" width="14.42578125" style="6" customWidth="1"/>
    <col min="2" max="3" width="9.140625" style="6"/>
  </cols>
  <sheetData>
    <row r="1" spans="1:3" s="1" customFormat="1" ht="15.75" thickBot="1" x14ac:dyDescent="0.3">
      <c r="A1" s="7" t="s">
        <v>250</v>
      </c>
      <c r="B1" s="7" t="s">
        <v>169</v>
      </c>
      <c r="C1" s="7" t="s">
        <v>170</v>
      </c>
    </row>
    <row r="2" spans="1:3" x14ac:dyDescent="0.25">
      <c r="A2" s="29" t="s">
        <v>251</v>
      </c>
      <c r="B2" s="6">
        <v>1</v>
      </c>
      <c r="C2" s="6">
        <v>4</v>
      </c>
    </row>
    <row r="3" spans="1:3" x14ac:dyDescent="0.25">
      <c r="A3" s="29" t="s">
        <v>252</v>
      </c>
      <c r="B3" s="6">
        <v>1</v>
      </c>
      <c r="C3" s="6">
        <v>1</v>
      </c>
    </row>
    <row r="4" spans="1:3" x14ac:dyDescent="0.25">
      <c r="A4" s="29" t="s">
        <v>253</v>
      </c>
      <c r="B4" s="6">
        <v>1</v>
      </c>
      <c r="C4" s="6">
        <v>2</v>
      </c>
    </row>
    <row r="5" spans="1:3" s="1" customFormat="1" ht="15.75" thickBot="1" x14ac:dyDescent="0.3">
      <c r="A5" s="30" t="s">
        <v>254</v>
      </c>
      <c r="B5" s="7">
        <v>1</v>
      </c>
      <c r="C5" s="7">
        <v>3</v>
      </c>
    </row>
    <row r="6" spans="1:3" x14ac:dyDescent="0.25">
      <c r="A6" s="29" t="s">
        <v>255</v>
      </c>
      <c r="B6" s="6">
        <f>B2+1</f>
        <v>2</v>
      </c>
      <c r="C6" s="6">
        <f>C2</f>
        <v>4</v>
      </c>
    </row>
    <row r="7" spans="1:3" x14ac:dyDescent="0.25">
      <c r="A7" s="29" t="s">
        <v>256</v>
      </c>
      <c r="B7" s="6">
        <f t="shared" ref="B7:B29" si="0">B3+1</f>
        <v>2</v>
      </c>
      <c r="C7" s="6">
        <f t="shared" ref="C7:C29" si="1">C3</f>
        <v>1</v>
      </c>
    </row>
    <row r="8" spans="1:3" x14ac:dyDescent="0.25">
      <c r="A8" s="29" t="s">
        <v>257</v>
      </c>
      <c r="B8" s="6">
        <f t="shared" si="0"/>
        <v>2</v>
      </c>
      <c r="C8" s="6">
        <f t="shared" si="1"/>
        <v>2</v>
      </c>
    </row>
    <row r="9" spans="1:3" s="1" customFormat="1" ht="15.75" thickBot="1" x14ac:dyDescent="0.3">
      <c r="A9" s="30" t="s">
        <v>258</v>
      </c>
      <c r="B9" s="7">
        <f t="shared" si="0"/>
        <v>2</v>
      </c>
      <c r="C9" s="7">
        <f t="shared" si="1"/>
        <v>3</v>
      </c>
    </row>
    <row r="10" spans="1:3" x14ac:dyDescent="0.25">
      <c r="A10" s="29" t="s">
        <v>259</v>
      </c>
      <c r="B10" s="6">
        <f t="shared" si="0"/>
        <v>3</v>
      </c>
      <c r="C10" s="6">
        <f t="shared" si="1"/>
        <v>4</v>
      </c>
    </row>
    <row r="11" spans="1:3" x14ac:dyDescent="0.25">
      <c r="A11" s="29" t="s">
        <v>260</v>
      </c>
      <c r="B11" s="6">
        <f t="shared" si="0"/>
        <v>3</v>
      </c>
      <c r="C11" s="6">
        <f t="shared" si="1"/>
        <v>1</v>
      </c>
    </row>
    <row r="12" spans="1:3" x14ac:dyDescent="0.25">
      <c r="A12" s="29" t="s">
        <v>261</v>
      </c>
      <c r="B12" s="6">
        <f t="shared" si="0"/>
        <v>3</v>
      </c>
      <c r="C12" s="6">
        <f t="shared" si="1"/>
        <v>2</v>
      </c>
    </row>
    <row r="13" spans="1:3" s="1" customFormat="1" ht="15.75" thickBot="1" x14ac:dyDescent="0.3">
      <c r="A13" s="30" t="s">
        <v>262</v>
      </c>
      <c r="B13" s="7">
        <f t="shared" si="0"/>
        <v>3</v>
      </c>
      <c r="C13" s="7">
        <f t="shared" si="1"/>
        <v>3</v>
      </c>
    </row>
    <row r="14" spans="1:3" x14ac:dyDescent="0.25">
      <c r="A14" s="29" t="s">
        <v>263</v>
      </c>
      <c r="B14" s="6">
        <f t="shared" si="0"/>
        <v>4</v>
      </c>
      <c r="C14" s="6">
        <f t="shared" si="1"/>
        <v>4</v>
      </c>
    </row>
    <row r="15" spans="1:3" x14ac:dyDescent="0.25">
      <c r="A15" s="29" t="s">
        <v>264</v>
      </c>
      <c r="B15" s="6">
        <f t="shared" si="0"/>
        <v>4</v>
      </c>
      <c r="C15" s="6">
        <f t="shared" si="1"/>
        <v>1</v>
      </c>
    </row>
    <row r="16" spans="1:3" x14ac:dyDescent="0.25">
      <c r="A16" s="29" t="s">
        <v>265</v>
      </c>
      <c r="B16" s="6">
        <f t="shared" si="0"/>
        <v>4</v>
      </c>
      <c r="C16" s="6">
        <f t="shared" si="1"/>
        <v>2</v>
      </c>
    </row>
    <row r="17" spans="1:3" s="1" customFormat="1" ht="15.75" thickBot="1" x14ac:dyDescent="0.3">
      <c r="A17" s="30" t="s">
        <v>266</v>
      </c>
      <c r="B17" s="7">
        <f t="shared" si="0"/>
        <v>4</v>
      </c>
      <c r="C17" s="7">
        <f t="shared" si="1"/>
        <v>3</v>
      </c>
    </row>
    <row r="18" spans="1:3" x14ac:dyDescent="0.25">
      <c r="A18" s="29" t="s">
        <v>267</v>
      </c>
      <c r="B18" s="6">
        <f t="shared" si="0"/>
        <v>5</v>
      </c>
      <c r="C18" s="6">
        <f t="shared" si="1"/>
        <v>4</v>
      </c>
    </row>
    <row r="19" spans="1:3" x14ac:dyDescent="0.25">
      <c r="A19" s="29" t="s">
        <v>268</v>
      </c>
      <c r="B19" s="6">
        <f t="shared" si="0"/>
        <v>5</v>
      </c>
      <c r="C19" s="6">
        <f t="shared" si="1"/>
        <v>1</v>
      </c>
    </row>
    <row r="20" spans="1:3" x14ac:dyDescent="0.25">
      <c r="A20" s="29" t="s">
        <v>269</v>
      </c>
      <c r="B20" s="6">
        <f t="shared" si="0"/>
        <v>5</v>
      </c>
      <c r="C20" s="6">
        <f t="shared" si="1"/>
        <v>2</v>
      </c>
    </row>
    <row r="21" spans="1:3" s="1" customFormat="1" ht="15.75" thickBot="1" x14ac:dyDescent="0.3">
      <c r="A21" s="30" t="s">
        <v>270</v>
      </c>
      <c r="B21" s="7">
        <f t="shared" si="0"/>
        <v>5</v>
      </c>
      <c r="C21" s="7">
        <f t="shared" si="1"/>
        <v>3</v>
      </c>
    </row>
    <row r="22" spans="1:3" x14ac:dyDescent="0.25">
      <c r="A22" s="29" t="s">
        <v>271</v>
      </c>
      <c r="B22" s="6">
        <f t="shared" si="0"/>
        <v>6</v>
      </c>
      <c r="C22" s="6">
        <f t="shared" si="1"/>
        <v>4</v>
      </c>
    </row>
    <row r="23" spans="1:3" x14ac:dyDescent="0.25">
      <c r="A23" s="29" t="s">
        <v>272</v>
      </c>
      <c r="B23" s="6">
        <f t="shared" si="0"/>
        <v>6</v>
      </c>
      <c r="C23" s="6">
        <f t="shared" si="1"/>
        <v>1</v>
      </c>
    </row>
    <row r="24" spans="1:3" x14ac:dyDescent="0.25">
      <c r="A24" s="29" t="s">
        <v>273</v>
      </c>
      <c r="B24" s="6">
        <f t="shared" si="0"/>
        <v>6</v>
      </c>
      <c r="C24" s="6">
        <f t="shared" si="1"/>
        <v>2</v>
      </c>
    </row>
    <row r="25" spans="1:3" s="1" customFormat="1" ht="15.75" thickBot="1" x14ac:dyDescent="0.3">
      <c r="A25" s="30" t="s">
        <v>274</v>
      </c>
      <c r="B25" s="7">
        <f t="shared" si="0"/>
        <v>6</v>
      </c>
      <c r="C25" s="7">
        <f t="shared" si="1"/>
        <v>3</v>
      </c>
    </row>
    <row r="26" spans="1:3" x14ac:dyDescent="0.25">
      <c r="A26" s="29" t="s">
        <v>171</v>
      </c>
      <c r="B26" s="6">
        <f>B22+1</f>
        <v>7</v>
      </c>
      <c r="C26" s="6">
        <f t="shared" si="1"/>
        <v>4</v>
      </c>
    </row>
    <row r="27" spans="1:3" x14ac:dyDescent="0.25">
      <c r="A27" s="29" t="s">
        <v>171</v>
      </c>
      <c r="B27" s="6">
        <f t="shared" si="0"/>
        <v>7</v>
      </c>
      <c r="C27" s="6">
        <f t="shared" si="1"/>
        <v>1</v>
      </c>
    </row>
    <row r="28" spans="1:3" x14ac:dyDescent="0.25">
      <c r="A28" s="29" t="s">
        <v>171</v>
      </c>
      <c r="B28" s="6">
        <f t="shared" si="0"/>
        <v>7</v>
      </c>
      <c r="C28" s="6">
        <f t="shared" si="1"/>
        <v>2</v>
      </c>
    </row>
    <row r="29" spans="1:3" s="1" customFormat="1" ht="15.75" thickBot="1" x14ac:dyDescent="0.3">
      <c r="A29" s="30" t="s">
        <v>171</v>
      </c>
      <c r="B29" s="7">
        <f t="shared" si="0"/>
        <v>7</v>
      </c>
      <c r="C29" s="7">
        <f t="shared" si="1"/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4BE4-66EB-49B2-BEA9-8E0EA2A74C10}">
  <dimension ref="A1:E113"/>
  <sheetViews>
    <sheetView topLeftCell="A10" zoomScale="115" zoomScaleNormal="115" workbookViewId="0">
      <selection activeCell="C49" sqref="B2:C49"/>
    </sheetView>
  </sheetViews>
  <sheetFormatPr defaultRowHeight="15" x14ac:dyDescent="0.25"/>
  <cols>
    <col min="1" max="1" width="15.140625" style="6" customWidth="1"/>
    <col min="2" max="2" width="9.140625" style="6"/>
    <col min="3" max="3" width="14.5703125" style="34" customWidth="1"/>
  </cols>
  <sheetData>
    <row r="1" spans="1:5" s="1" customFormat="1" ht="15" customHeight="1" thickBot="1" x14ac:dyDescent="0.3">
      <c r="A1" s="7" t="s">
        <v>249</v>
      </c>
      <c r="B1" s="7" t="s">
        <v>169</v>
      </c>
      <c r="C1" s="33" t="s">
        <v>170</v>
      </c>
      <c r="D1" s="15"/>
    </row>
    <row r="2" spans="1:5" ht="15" customHeight="1" x14ac:dyDescent="0.25">
      <c r="A2" s="29" t="s">
        <v>165</v>
      </c>
      <c r="B2" s="6">
        <v>1</v>
      </c>
      <c r="C2" s="34">
        <v>13</v>
      </c>
      <c r="D2" s="32"/>
    </row>
    <row r="3" spans="1:5" ht="15" customHeight="1" x14ac:dyDescent="0.25">
      <c r="A3" s="29" t="s">
        <v>23</v>
      </c>
      <c r="B3" s="6">
        <v>1</v>
      </c>
      <c r="C3" s="34">
        <v>14</v>
      </c>
      <c r="D3" s="32"/>
    </row>
    <row r="4" spans="1:5" ht="15" customHeight="1" x14ac:dyDescent="0.25">
      <c r="A4" s="29" t="s">
        <v>166</v>
      </c>
      <c r="B4" s="6">
        <v>1</v>
      </c>
      <c r="C4" s="34">
        <v>15</v>
      </c>
      <c r="D4" s="32"/>
    </row>
    <row r="5" spans="1:5" ht="15" customHeight="1" x14ac:dyDescent="0.25">
      <c r="A5" s="29" t="s">
        <v>167</v>
      </c>
      <c r="B5" s="6">
        <v>1</v>
      </c>
      <c r="C5" s="34">
        <v>16</v>
      </c>
      <c r="D5" s="32"/>
    </row>
    <row r="6" spans="1:5" ht="15" customHeight="1" x14ac:dyDescent="0.25">
      <c r="A6" s="29" t="s">
        <v>24</v>
      </c>
      <c r="B6" s="6">
        <v>1</v>
      </c>
      <c r="C6" s="34">
        <v>1</v>
      </c>
      <c r="D6" s="32"/>
    </row>
    <row r="7" spans="1:5" ht="15" customHeight="1" x14ac:dyDescent="0.25">
      <c r="A7" s="29" t="s">
        <v>71</v>
      </c>
      <c r="B7" s="6">
        <v>1</v>
      </c>
      <c r="C7" s="34">
        <v>2</v>
      </c>
      <c r="D7" s="32"/>
    </row>
    <row r="8" spans="1:5" ht="15" customHeight="1" x14ac:dyDescent="0.25">
      <c r="A8" s="29" t="s">
        <v>172</v>
      </c>
      <c r="B8" s="6">
        <v>1</v>
      </c>
      <c r="C8" s="34">
        <v>3</v>
      </c>
      <c r="D8" s="32"/>
    </row>
    <row r="9" spans="1:5" ht="15" customHeight="1" x14ac:dyDescent="0.25">
      <c r="A9" s="29" t="s">
        <v>25</v>
      </c>
      <c r="B9" s="6">
        <v>1</v>
      </c>
      <c r="C9" s="34">
        <v>4</v>
      </c>
      <c r="D9" s="32"/>
    </row>
    <row r="10" spans="1:5" ht="15" customHeight="1" x14ac:dyDescent="0.25">
      <c r="A10" s="29" t="s">
        <v>173</v>
      </c>
      <c r="B10" s="6">
        <v>1</v>
      </c>
      <c r="C10" s="34">
        <v>5</v>
      </c>
      <c r="D10" s="32"/>
    </row>
    <row r="11" spans="1:5" ht="15" customHeight="1" x14ac:dyDescent="0.25">
      <c r="A11" s="29" t="s">
        <v>174</v>
      </c>
      <c r="B11" s="6">
        <v>1</v>
      </c>
      <c r="C11" s="34">
        <v>6</v>
      </c>
      <c r="D11" s="32"/>
    </row>
    <row r="12" spans="1:5" ht="15" customHeight="1" x14ac:dyDescent="0.25">
      <c r="A12" s="29" t="s">
        <v>55</v>
      </c>
      <c r="B12" s="6">
        <v>1</v>
      </c>
      <c r="C12" s="34">
        <v>7</v>
      </c>
      <c r="D12" s="32"/>
    </row>
    <row r="13" spans="1:5" ht="15" customHeight="1" x14ac:dyDescent="0.25">
      <c r="A13" s="29" t="s">
        <v>175</v>
      </c>
      <c r="B13" s="6">
        <v>1</v>
      </c>
      <c r="C13" s="34">
        <v>8</v>
      </c>
      <c r="D13" s="32"/>
    </row>
    <row r="14" spans="1:5" ht="15" customHeight="1" x14ac:dyDescent="0.25">
      <c r="A14" s="29" t="s">
        <v>176</v>
      </c>
      <c r="B14" s="6">
        <v>1</v>
      </c>
      <c r="C14" s="34">
        <v>9</v>
      </c>
      <c r="D14" s="32"/>
    </row>
    <row r="15" spans="1:5" ht="15" customHeight="1" x14ac:dyDescent="0.25">
      <c r="A15" s="29" t="s">
        <v>56</v>
      </c>
      <c r="B15" s="6">
        <v>1</v>
      </c>
      <c r="C15" s="34">
        <v>10</v>
      </c>
      <c r="D15" s="32"/>
    </row>
    <row r="16" spans="1:5" ht="15.75" customHeight="1" x14ac:dyDescent="0.25">
      <c r="A16" s="29" t="s">
        <v>177</v>
      </c>
      <c r="B16" s="6">
        <v>1</v>
      </c>
      <c r="C16" s="34">
        <v>11</v>
      </c>
      <c r="D16" s="32"/>
      <c r="E16" s="13"/>
    </row>
    <row r="17" spans="1:4" s="1" customFormat="1" ht="15" customHeight="1" thickBot="1" x14ac:dyDescent="0.3">
      <c r="A17" s="30" t="s">
        <v>178</v>
      </c>
      <c r="B17" s="7">
        <v>1</v>
      </c>
      <c r="C17" s="33">
        <v>12</v>
      </c>
      <c r="D17" s="15"/>
    </row>
    <row r="18" spans="1:4" ht="15" customHeight="1" x14ac:dyDescent="0.25">
      <c r="A18" s="29" t="s">
        <v>57</v>
      </c>
      <c r="B18" s="6">
        <f>B2+1</f>
        <v>2</v>
      </c>
      <c r="C18" s="35">
        <f>C2</f>
        <v>13</v>
      </c>
      <c r="D18" s="31"/>
    </row>
    <row r="19" spans="1:4" ht="15" customHeight="1" x14ac:dyDescent="0.25">
      <c r="A19" s="29" t="s">
        <v>179</v>
      </c>
      <c r="B19" s="6">
        <f>B3+1</f>
        <v>2</v>
      </c>
      <c r="C19" s="36">
        <f>C3</f>
        <v>14</v>
      </c>
      <c r="D19" s="32"/>
    </row>
    <row r="20" spans="1:4" ht="15" customHeight="1" x14ac:dyDescent="0.25">
      <c r="A20" s="29" t="s">
        <v>180</v>
      </c>
      <c r="B20" s="6">
        <f t="shared" ref="B20:B33" si="0">B4+1</f>
        <v>2</v>
      </c>
      <c r="C20" s="36">
        <f t="shared" ref="C20:C33" si="1">C4</f>
        <v>15</v>
      </c>
      <c r="D20" s="32"/>
    </row>
    <row r="21" spans="1:4" ht="15" customHeight="1" x14ac:dyDescent="0.25">
      <c r="A21" s="29" t="s">
        <v>58</v>
      </c>
      <c r="B21" s="6">
        <f t="shared" si="0"/>
        <v>2</v>
      </c>
      <c r="C21" s="36">
        <f t="shared" si="1"/>
        <v>16</v>
      </c>
      <c r="D21" s="32"/>
    </row>
    <row r="22" spans="1:4" ht="15" customHeight="1" x14ac:dyDescent="0.25">
      <c r="A22" s="29" t="s">
        <v>72</v>
      </c>
      <c r="B22" s="6">
        <f t="shared" si="0"/>
        <v>2</v>
      </c>
      <c r="C22" s="36">
        <f t="shared" si="1"/>
        <v>1</v>
      </c>
      <c r="D22" s="32"/>
    </row>
    <row r="23" spans="1:4" ht="15" customHeight="1" x14ac:dyDescent="0.25">
      <c r="A23" s="29" t="s">
        <v>181</v>
      </c>
      <c r="B23" s="6">
        <f t="shared" si="0"/>
        <v>2</v>
      </c>
      <c r="C23" s="36">
        <f t="shared" si="1"/>
        <v>2</v>
      </c>
      <c r="D23" s="32"/>
    </row>
    <row r="24" spans="1:4" ht="15" customHeight="1" x14ac:dyDescent="0.25">
      <c r="A24" s="29" t="s">
        <v>59</v>
      </c>
      <c r="B24" s="6">
        <f t="shared" si="0"/>
        <v>2</v>
      </c>
      <c r="C24" s="36">
        <f t="shared" si="1"/>
        <v>3</v>
      </c>
      <c r="D24" s="32"/>
    </row>
    <row r="25" spans="1:4" ht="15" customHeight="1" x14ac:dyDescent="0.25">
      <c r="A25" s="29" t="s">
        <v>73</v>
      </c>
      <c r="B25" s="6">
        <f t="shared" si="0"/>
        <v>2</v>
      </c>
      <c r="C25" s="36">
        <f t="shared" si="1"/>
        <v>4</v>
      </c>
      <c r="D25" s="32"/>
    </row>
    <row r="26" spans="1:4" ht="15" customHeight="1" x14ac:dyDescent="0.25">
      <c r="A26" s="29" t="s">
        <v>182</v>
      </c>
      <c r="B26" s="6">
        <f t="shared" si="0"/>
        <v>2</v>
      </c>
      <c r="C26" s="36">
        <f t="shared" si="1"/>
        <v>5</v>
      </c>
      <c r="D26" s="32"/>
    </row>
    <row r="27" spans="1:4" ht="15" customHeight="1" x14ac:dyDescent="0.25">
      <c r="A27" s="29" t="s">
        <v>183</v>
      </c>
      <c r="B27" s="6">
        <f t="shared" si="0"/>
        <v>2</v>
      </c>
      <c r="C27" s="36">
        <f t="shared" si="1"/>
        <v>6</v>
      </c>
      <c r="D27" s="32"/>
    </row>
    <row r="28" spans="1:4" ht="15" customHeight="1" x14ac:dyDescent="0.25">
      <c r="A28" s="29" t="s">
        <v>184</v>
      </c>
      <c r="B28" s="6">
        <f t="shared" si="0"/>
        <v>2</v>
      </c>
      <c r="C28" s="36">
        <f t="shared" si="1"/>
        <v>7</v>
      </c>
      <c r="D28" s="32"/>
    </row>
    <row r="29" spans="1:4" ht="15" customHeight="1" x14ac:dyDescent="0.25">
      <c r="A29" s="29" t="s">
        <v>185</v>
      </c>
      <c r="B29" s="6">
        <f t="shared" si="0"/>
        <v>2</v>
      </c>
      <c r="C29" s="36">
        <f t="shared" si="1"/>
        <v>8</v>
      </c>
      <c r="D29" s="32"/>
    </row>
    <row r="30" spans="1:4" ht="15" customHeight="1" x14ac:dyDescent="0.25">
      <c r="A30" s="29" t="s">
        <v>186</v>
      </c>
      <c r="B30" s="6">
        <f t="shared" si="0"/>
        <v>2</v>
      </c>
      <c r="C30" s="36">
        <f t="shared" si="1"/>
        <v>9</v>
      </c>
      <c r="D30" s="32"/>
    </row>
    <row r="31" spans="1:4" ht="15" customHeight="1" x14ac:dyDescent="0.25">
      <c r="A31" s="29" t="s">
        <v>187</v>
      </c>
      <c r="B31" s="6">
        <f t="shared" si="0"/>
        <v>2</v>
      </c>
      <c r="C31" s="36">
        <f t="shared" si="1"/>
        <v>10</v>
      </c>
      <c r="D31" s="32"/>
    </row>
    <row r="32" spans="1:4" ht="15.75" customHeight="1" x14ac:dyDescent="0.25">
      <c r="A32" s="29" t="s">
        <v>188</v>
      </c>
      <c r="B32" s="6">
        <f t="shared" si="0"/>
        <v>2</v>
      </c>
      <c r="C32" s="36">
        <f t="shared" si="1"/>
        <v>11</v>
      </c>
      <c r="D32" s="32"/>
    </row>
    <row r="33" spans="1:4" s="1" customFormat="1" ht="15.75" customHeight="1" thickBot="1" x14ac:dyDescent="0.3">
      <c r="A33" s="30" t="s">
        <v>189</v>
      </c>
      <c r="B33" s="7">
        <f t="shared" si="0"/>
        <v>2</v>
      </c>
      <c r="C33" s="37">
        <f t="shared" si="1"/>
        <v>12</v>
      </c>
      <c r="D33" s="15"/>
    </row>
    <row r="34" spans="1:4" ht="15" customHeight="1" x14ac:dyDescent="0.25">
      <c r="A34" s="29" t="s">
        <v>190</v>
      </c>
      <c r="B34" s="6">
        <f>B18+1</f>
        <v>3</v>
      </c>
      <c r="C34" s="35">
        <f>C18</f>
        <v>13</v>
      </c>
      <c r="D34" s="31"/>
    </row>
    <row r="35" spans="1:4" ht="15" customHeight="1" x14ac:dyDescent="0.25">
      <c r="A35" s="29" t="s">
        <v>191</v>
      </c>
      <c r="B35" s="6">
        <f>B19+1</f>
        <v>3</v>
      </c>
      <c r="C35" s="36">
        <f>C19</f>
        <v>14</v>
      </c>
      <c r="D35" s="32"/>
    </row>
    <row r="36" spans="1:4" ht="15" customHeight="1" x14ac:dyDescent="0.25">
      <c r="A36" s="29" t="s">
        <v>192</v>
      </c>
      <c r="B36" s="6">
        <f t="shared" ref="B36:B49" si="2">B20+1</f>
        <v>3</v>
      </c>
      <c r="C36" s="36">
        <f t="shared" ref="C36:C49" si="3">C20</f>
        <v>15</v>
      </c>
      <c r="D36" s="32"/>
    </row>
    <row r="37" spans="1:4" ht="15" customHeight="1" x14ac:dyDescent="0.25">
      <c r="A37" s="29" t="s">
        <v>193</v>
      </c>
      <c r="B37" s="6">
        <f t="shared" si="2"/>
        <v>3</v>
      </c>
      <c r="C37" s="36">
        <f t="shared" si="3"/>
        <v>16</v>
      </c>
      <c r="D37" s="32"/>
    </row>
    <row r="38" spans="1:4" ht="15" customHeight="1" x14ac:dyDescent="0.25">
      <c r="A38" s="29" t="s">
        <v>194</v>
      </c>
      <c r="B38" s="6">
        <f t="shared" si="2"/>
        <v>3</v>
      </c>
      <c r="C38" s="36">
        <f t="shared" si="3"/>
        <v>1</v>
      </c>
      <c r="D38" s="32"/>
    </row>
    <row r="39" spans="1:4" ht="15" customHeight="1" x14ac:dyDescent="0.25">
      <c r="A39" s="29" t="s">
        <v>195</v>
      </c>
      <c r="B39" s="6">
        <f t="shared" si="2"/>
        <v>3</v>
      </c>
      <c r="C39" s="36">
        <f t="shared" si="3"/>
        <v>2</v>
      </c>
      <c r="D39" s="32"/>
    </row>
    <row r="40" spans="1:4" ht="15" customHeight="1" x14ac:dyDescent="0.25">
      <c r="A40" s="29" t="s">
        <v>196</v>
      </c>
      <c r="B40" s="6">
        <f t="shared" si="2"/>
        <v>3</v>
      </c>
      <c r="C40" s="36">
        <f t="shared" si="3"/>
        <v>3</v>
      </c>
      <c r="D40" s="32"/>
    </row>
    <row r="41" spans="1:4" ht="15" customHeight="1" x14ac:dyDescent="0.25">
      <c r="A41" s="29" t="s">
        <v>197</v>
      </c>
      <c r="B41" s="6">
        <f t="shared" si="2"/>
        <v>3</v>
      </c>
      <c r="C41" s="36">
        <f t="shared" si="3"/>
        <v>4</v>
      </c>
      <c r="D41" s="32"/>
    </row>
    <row r="42" spans="1:4" ht="15" customHeight="1" x14ac:dyDescent="0.25">
      <c r="A42" s="29" t="s">
        <v>198</v>
      </c>
      <c r="B42" s="6">
        <f t="shared" si="2"/>
        <v>3</v>
      </c>
      <c r="C42" s="36">
        <f t="shared" si="3"/>
        <v>5</v>
      </c>
      <c r="D42" s="32"/>
    </row>
    <row r="43" spans="1:4" ht="15" customHeight="1" x14ac:dyDescent="0.25">
      <c r="A43" s="29" t="s">
        <v>199</v>
      </c>
      <c r="B43" s="6">
        <f t="shared" si="2"/>
        <v>3</v>
      </c>
      <c r="C43" s="36">
        <f t="shared" si="3"/>
        <v>6</v>
      </c>
      <c r="D43" s="32"/>
    </row>
    <row r="44" spans="1:4" ht="15" customHeight="1" x14ac:dyDescent="0.25">
      <c r="A44" s="29" t="s">
        <v>200</v>
      </c>
      <c r="B44" s="6">
        <f t="shared" si="2"/>
        <v>3</v>
      </c>
      <c r="C44" s="36">
        <f t="shared" si="3"/>
        <v>7</v>
      </c>
      <c r="D44" s="32"/>
    </row>
    <row r="45" spans="1:4" ht="15" customHeight="1" x14ac:dyDescent="0.25">
      <c r="A45" s="29" t="s">
        <v>201</v>
      </c>
      <c r="B45" s="6">
        <f t="shared" si="2"/>
        <v>3</v>
      </c>
      <c r="C45" s="36">
        <f t="shared" si="3"/>
        <v>8</v>
      </c>
      <c r="D45" s="32"/>
    </row>
    <row r="46" spans="1:4" ht="15" customHeight="1" x14ac:dyDescent="0.25">
      <c r="A46" s="29" t="s">
        <v>202</v>
      </c>
      <c r="B46" s="6">
        <f t="shared" si="2"/>
        <v>3</v>
      </c>
      <c r="C46" s="36">
        <f t="shared" si="3"/>
        <v>9</v>
      </c>
      <c r="D46" s="32"/>
    </row>
    <row r="47" spans="1:4" ht="15" customHeight="1" x14ac:dyDescent="0.25">
      <c r="A47" s="29" t="s">
        <v>203</v>
      </c>
      <c r="B47" s="6">
        <f t="shared" si="2"/>
        <v>3</v>
      </c>
      <c r="C47" s="36">
        <f t="shared" si="3"/>
        <v>10</v>
      </c>
      <c r="D47" s="32"/>
    </row>
    <row r="48" spans="1:4" ht="15.75" customHeight="1" x14ac:dyDescent="0.25">
      <c r="A48" s="29" t="s">
        <v>204</v>
      </c>
      <c r="B48" s="6">
        <f t="shared" si="2"/>
        <v>3</v>
      </c>
      <c r="C48" s="36">
        <f t="shared" si="3"/>
        <v>11</v>
      </c>
      <c r="D48" s="32"/>
    </row>
    <row r="49" spans="1:4" s="1" customFormat="1" ht="15.75" customHeight="1" thickBot="1" x14ac:dyDescent="0.3">
      <c r="A49" s="28" t="s">
        <v>205</v>
      </c>
      <c r="B49" s="7">
        <f t="shared" si="2"/>
        <v>3</v>
      </c>
      <c r="C49" s="37">
        <f t="shared" si="3"/>
        <v>12</v>
      </c>
      <c r="D49" s="15"/>
    </row>
    <row r="50" spans="1:4" x14ac:dyDescent="0.25">
      <c r="A50" s="29" t="s">
        <v>206</v>
      </c>
      <c r="B50" s="6">
        <f>B34+1</f>
        <v>4</v>
      </c>
      <c r="C50" s="35">
        <f>C34</f>
        <v>13</v>
      </c>
    </row>
    <row r="51" spans="1:4" x14ac:dyDescent="0.25">
      <c r="A51" s="29" t="s">
        <v>207</v>
      </c>
      <c r="B51" s="6">
        <f>B35+1</f>
        <v>4</v>
      </c>
      <c r="C51" s="36">
        <f>C35</f>
        <v>14</v>
      </c>
    </row>
    <row r="52" spans="1:4" x14ac:dyDescent="0.25">
      <c r="A52" s="29" t="s">
        <v>208</v>
      </c>
      <c r="B52" s="6">
        <f t="shared" ref="B52:B65" si="4">B36+1</f>
        <v>4</v>
      </c>
      <c r="C52" s="36">
        <f t="shared" ref="C52:C65" si="5">C36</f>
        <v>15</v>
      </c>
    </row>
    <row r="53" spans="1:4" x14ac:dyDescent="0.25">
      <c r="A53" s="29" t="s">
        <v>209</v>
      </c>
      <c r="B53" s="6">
        <f t="shared" si="4"/>
        <v>4</v>
      </c>
      <c r="C53" s="36">
        <f t="shared" si="5"/>
        <v>16</v>
      </c>
    </row>
    <row r="54" spans="1:4" x14ac:dyDescent="0.25">
      <c r="A54" s="29" t="s">
        <v>210</v>
      </c>
      <c r="B54" s="6">
        <f t="shared" si="4"/>
        <v>4</v>
      </c>
      <c r="C54" s="36">
        <f t="shared" si="5"/>
        <v>1</v>
      </c>
    </row>
    <row r="55" spans="1:4" x14ac:dyDescent="0.25">
      <c r="A55" s="29" t="s">
        <v>211</v>
      </c>
      <c r="B55" s="6">
        <f t="shared" si="4"/>
        <v>4</v>
      </c>
      <c r="C55" s="36">
        <f t="shared" si="5"/>
        <v>2</v>
      </c>
    </row>
    <row r="56" spans="1:4" x14ac:dyDescent="0.25">
      <c r="A56" s="29" t="s">
        <v>212</v>
      </c>
      <c r="B56" s="6">
        <f t="shared" si="4"/>
        <v>4</v>
      </c>
      <c r="C56" s="36">
        <f t="shared" si="5"/>
        <v>3</v>
      </c>
    </row>
    <row r="57" spans="1:4" x14ac:dyDescent="0.25">
      <c r="A57" s="29" t="s">
        <v>213</v>
      </c>
      <c r="B57" s="6">
        <f t="shared" si="4"/>
        <v>4</v>
      </c>
      <c r="C57" s="36">
        <f t="shared" si="5"/>
        <v>4</v>
      </c>
    </row>
    <row r="58" spans="1:4" x14ac:dyDescent="0.25">
      <c r="A58" s="29" t="s">
        <v>214</v>
      </c>
      <c r="B58" s="6">
        <f t="shared" si="4"/>
        <v>4</v>
      </c>
      <c r="C58" s="36">
        <f t="shared" si="5"/>
        <v>5</v>
      </c>
    </row>
    <row r="59" spans="1:4" x14ac:dyDescent="0.25">
      <c r="A59" s="29" t="s">
        <v>215</v>
      </c>
      <c r="B59" s="6">
        <f t="shared" si="4"/>
        <v>4</v>
      </c>
      <c r="C59" s="36">
        <f t="shared" si="5"/>
        <v>6</v>
      </c>
    </row>
    <row r="60" spans="1:4" x14ac:dyDescent="0.25">
      <c r="A60" s="29" t="s">
        <v>216</v>
      </c>
      <c r="B60" s="6">
        <f t="shared" si="4"/>
        <v>4</v>
      </c>
      <c r="C60" s="36">
        <f t="shared" si="5"/>
        <v>7</v>
      </c>
    </row>
    <row r="61" spans="1:4" x14ac:dyDescent="0.25">
      <c r="A61" s="29" t="s">
        <v>217</v>
      </c>
      <c r="B61" s="6">
        <f t="shared" si="4"/>
        <v>4</v>
      </c>
      <c r="C61" s="36">
        <f t="shared" si="5"/>
        <v>8</v>
      </c>
    </row>
    <row r="62" spans="1:4" x14ac:dyDescent="0.25">
      <c r="A62" s="29" t="s">
        <v>218</v>
      </c>
      <c r="B62" s="6">
        <f t="shared" si="4"/>
        <v>4</v>
      </c>
      <c r="C62" s="36">
        <f t="shared" si="5"/>
        <v>9</v>
      </c>
    </row>
    <row r="63" spans="1:4" x14ac:dyDescent="0.25">
      <c r="A63" s="29" t="s">
        <v>219</v>
      </c>
      <c r="B63" s="6">
        <f t="shared" si="4"/>
        <v>4</v>
      </c>
      <c r="C63" s="36">
        <f t="shared" si="5"/>
        <v>10</v>
      </c>
    </row>
    <row r="64" spans="1:4" x14ac:dyDescent="0.25">
      <c r="A64" s="29" t="s">
        <v>220</v>
      </c>
      <c r="B64" s="6">
        <f t="shared" si="4"/>
        <v>4</v>
      </c>
      <c r="C64" s="36">
        <f t="shared" si="5"/>
        <v>11</v>
      </c>
    </row>
    <row r="65" spans="1:3" s="1" customFormat="1" ht="15.75" thickBot="1" x14ac:dyDescent="0.3">
      <c r="A65" s="30" t="s">
        <v>221</v>
      </c>
      <c r="B65" s="7">
        <f t="shared" si="4"/>
        <v>4</v>
      </c>
      <c r="C65" s="37">
        <f t="shared" si="5"/>
        <v>12</v>
      </c>
    </row>
    <row r="66" spans="1:3" x14ac:dyDescent="0.25">
      <c r="A66" s="29" t="s">
        <v>222</v>
      </c>
      <c r="B66" s="6">
        <f>B50+1</f>
        <v>5</v>
      </c>
      <c r="C66" s="35">
        <f>C50</f>
        <v>13</v>
      </c>
    </row>
    <row r="67" spans="1:3" x14ac:dyDescent="0.25">
      <c r="A67" s="29" t="s">
        <v>223</v>
      </c>
      <c r="B67" s="6">
        <f>B51+1</f>
        <v>5</v>
      </c>
      <c r="C67" s="36">
        <f>C51</f>
        <v>14</v>
      </c>
    </row>
    <row r="68" spans="1:3" x14ac:dyDescent="0.25">
      <c r="A68" s="29" t="s">
        <v>224</v>
      </c>
      <c r="B68" s="6">
        <f t="shared" ref="B68:B81" si="6">B52+1</f>
        <v>5</v>
      </c>
      <c r="C68" s="36">
        <f t="shared" ref="C68:C81" si="7">C52</f>
        <v>15</v>
      </c>
    </row>
    <row r="69" spans="1:3" x14ac:dyDescent="0.25">
      <c r="A69" s="29" t="s">
        <v>225</v>
      </c>
      <c r="B69" s="6">
        <f t="shared" si="6"/>
        <v>5</v>
      </c>
      <c r="C69" s="36">
        <f t="shared" si="7"/>
        <v>16</v>
      </c>
    </row>
    <row r="70" spans="1:3" x14ac:dyDescent="0.25">
      <c r="A70" s="29" t="s">
        <v>226</v>
      </c>
      <c r="B70" s="6">
        <f t="shared" si="6"/>
        <v>5</v>
      </c>
      <c r="C70" s="36">
        <f t="shared" si="7"/>
        <v>1</v>
      </c>
    </row>
    <row r="71" spans="1:3" x14ac:dyDescent="0.25">
      <c r="A71" s="29" t="s">
        <v>227</v>
      </c>
      <c r="B71" s="6">
        <f t="shared" si="6"/>
        <v>5</v>
      </c>
      <c r="C71" s="36">
        <f t="shared" si="7"/>
        <v>2</v>
      </c>
    </row>
    <row r="72" spans="1:3" x14ac:dyDescent="0.25">
      <c r="A72" s="29" t="s">
        <v>228</v>
      </c>
      <c r="B72" s="6">
        <f t="shared" si="6"/>
        <v>5</v>
      </c>
      <c r="C72" s="36">
        <f t="shared" si="7"/>
        <v>3</v>
      </c>
    </row>
    <row r="73" spans="1:3" x14ac:dyDescent="0.25">
      <c r="A73" s="29" t="s">
        <v>229</v>
      </c>
      <c r="B73" s="6">
        <f t="shared" si="6"/>
        <v>5</v>
      </c>
      <c r="C73" s="36">
        <f t="shared" si="7"/>
        <v>4</v>
      </c>
    </row>
    <row r="74" spans="1:3" x14ac:dyDescent="0.25">
      <c r="A74" s="29" t="s">
        <v>230</v>
      </c>
      <c r="B74" s="6">
        <f t="shared" si="6"/>
        <v>5</v>
      </c>
      <c r="C74" s="36">
        <f t="shared" si="7"/>
        <v>5</v>
      </c>
    </row>
    <row r="75" spans="1:3" x14ac:dyDescent="0.25">
      <c r="A75" s="29" t="s">
        <v>231</v>
      </c>
      <c r="B75" s="6">
        <f t="shared" si="6"/>
        <v>5</v>
      </c>
      <c r="C75" s="36">
        <f t="shared" si="7"/>
        <v>6</v>
      </c>
    </row>
    <row r="76" spans="1:3" x14ac:dyDescent="0.25">
      <c r="A76" s="29" t="s">
        <v>232</v>
      </c>
      <c r="B76" s="6">
        <f t="shared" si="6"/>
        <v>5</v>
      </c>
      <c r="C76" s="36">
        <f t="shared" si="7"/>
        <v>7</v>
      </c>
    </row>
    <row r="77" spans="1:3" x14ac:dyDescent="0.25">
      <c r="A77" s="29" t="s">
        <v>233</v>
      </c>
      <c r="B77" s="6">
        <f t="shared" si="6"/>
        <v>5</v>
      </c>
      <c r="C77" s="36">
        <f t="shared" si="7"/>
        <v>8</v>
      </c>
    </row>
    <row r="78" spans="1:3" x14ac:dyDescent="0.25">
      <c r="A78" s="29" t="s">
        <v>234</v>
      </c>
      <c r="B78" s="6">
        <f t="shared" si="6"/>
        <v>5</v>
      </c>
      <c r="C78" s="36">
        <f t="shared" si="7"/>
        <v>9</v>
      </c>
    </row>
    <row r="79" spans="1:3" x14ac:dyDescent="0.25">
      <c r="A79" s="29" t="s">
        <v>235</v>
      </c>
      <c r="B79" s="6">
        <f t="shared" si="6"/>
        <v>5</v>
      </c>
      <c r="C79" s="36">
        <f t="shared" si="7"/>
        <v>10</v>
      </c>
    </row>
    <row r="80" spans="1:3" x14ac:dyDescent="0.25">
      <c r="A80" s="29" t="s">
        <v>236</v>
      </c>
      <c r="B80" s="6">
        <f t="shared" si="6"/>
        <v>5</v>
      </c>
      <c r="C80" s="36">
        <f t="shared" si="7"/>
        <v>11</v>
      </c>
    </row>
    <row r="81" spans="1:3" s="1" customFormat="1" ht="15.75" thickBot="1" x14ac:dyDescent="0.3">
      <c r="A81" s="30" t="s">
        <v>237</v>
      </c>
      <c r="B81" s="7">
        <f t="shared" si="6"/>
        <v>5</v>
      </c>
      <c r="C81" s="37">
        <f t="shared" si="7"/>
        <v>12</v>
      </c>
    </row>
    <row r="82" spans="1:3" x14ac:dyDescent="0.25">
      <c r="A82" s="29" t="s">
        <v>238</v>
      </c>
      <c r="B82" s="6">
        <f>B66+1</f>
        <v>6</v>
      </c>
      <c r="C82" s="36">
        <f>C66</f>
        <v>13</v>
      </c>
    </row>
    <row r="83" spans="1:3" x14ac:dyDescent="0.25">
      <c r="A83" s="29" t="s">
        <v>239</v>
      </c>
      <c r="B83" s="6">
        <f>B67+1</f>
        <v>6</v>
      </c>
      <c r="C83" s="36">
        <f>C67</f>
        <v>14</v>
      </c>
    </row>
    <row r="84" spans="1:3" x14ac:dyDescent="0.25">
      <c r="A84" s="29" t="s">
        <v>240</v>
      </c>
      <c r="B84" s="6">
        <f t="shared" ref="B84:B97" si="8">B68+1</f>
        <v>6</v>
      </c>
      <c r="C84" s="36">
        <f t="shared" ref="C84:C97" si="9">C68</f>
        <v>15</v>
      </c>
    </row>
    <row r="85" spans="1:3" x14ac:dyDescent="0.25">
      <c r="A85" s="29" t="s">
        <v>241</v>
      </c>
      <c r="B85" s="6">
        <f t="shared" si="8"/>
        <v>6</v>
      </c>
      <c r="C85" s="36">
        <f t="shared" si="9"/>
        <v>16</v>
      </c>
    </row>
    <row r="86" spans="1:3" x14ac:dyDescent="0.25">
      <c r="A86" s="29" t="s">
        <v>242</v>
      </c>
      <c r="B86" s="6">
        <f t="shared" si="8"/>
        <v>6</v>
      </c>
      <c r="C86" s="36">
        <f t="shared" si="9"/>
        <v>1</v>
      </c>
    </row>
    <row r="87" spans="1:3" x14ac:dyDescent="0.25">
      <c r="A87" s="29" t="s">
        <v>243</v>
      </c>
      <c r="B87" s="6">
        <f t="shared" si="8"/>
        <v>6</v>
      </c>
      <c r="C87" s="36">
        <f t="shared" si="9"/>
        <v>2</v>
      </c>
    </row>
    <row r="88" spans="1:3" x14ac:dyDescent="0.25">
      <c r="A88" s="29" t="s">
        <v>244</v>
      </c>
      <c r="B88" s="6">
        <f t="shared" si="8"/>
        <v>6</v>
      </c>
      <c r="C88" s="36">
        <f t="shared" si="9"/>
        <v>3</v>
      </c>
    </row>
    <row r="89" spans="1:3" x14ac:dyDescent="0.25">
      <c r="A89" s="29" t="s">
        <v>245</v>
      </c>
      <c r="B89" s="6">
        <f t="shared" si="8"/>
        <v>6</v>
      </c>
      <c r="C89" s="36">
        <f t="shared" si="9"/>
        <v>4</v>
      </c>
    </row>
    <row r="90" spans="1:3" x14ac:dyDescent="0.25">
      <c r="A90" s="29" t="s">
        <v>246</v>
      </c>
      <c r="B90" s="6">
        <f t="shared" si="8"/>
        <v>6</v>
      </c>
      <c r="C90" s="36">
        <f t="shared" si="9"/>
        <v>5</v>
      </c>
    </row>
    <row r="91" spans="1:3" x14ac:dyDescent="0.25">
      <c r="A91" s="29" t="s">
        <v>247</v>
      </c>
      <c r="B91" s="6">
        <f t="shared" si="8"/>
        <v>6</v>
      </c>
      <c r="C91" s="36">
        <f t="shared" si="9"/>
        <v>6</v>
      </c>
    </row>
    <row r="92" spans="1:3" x14ac:dyDescent="0.25">
      <c r="A92" s="38" t="s">
        <v>248</v>
      </c>
      <c r="B92" s="6">
        <f t="shared" si="8"/>
        <v>6</v>
      </c>
      <c r="C92" s="36">
        <f t="shared" si="9"/>
        <v>7</v>
      </c>
    </row>
    <row r="93" spans="1:3" x14ac:dyDescent="0.25">
      <c r="A93" s="38" t="s">
        <v>5</v>
      </c>
      <c r="B93" s="6">
        <f t="shared" si="8"/>
        <v>6</v>
      </c>
      <c r="C93" s="36">
        <f t="shared" si="9"/>
        <v>8</v>
      </c>
    </row>
    <row r="94" spans="1:3" x14ac:dyDescent="0.25">
      <c r="A94" s="6" t="s">
        <v>171</v>
      </c>
      <c r="B94" s="6">
        <f t="shared" si="8"/>
        <v>6</v>
      </c>
      <c r="C94" s="36">
        <f t="shared" si="9"/>
        <v>9</v>
      </c>
    </row>
    <row r="95" spans="1:3" x14ac:dyDescent="0.25">
      <c r="A95" s="6" t="s">
        <v>171</v>
      </c>
      <c r="B95" s="6">
        <f t="shared" si="8"/>
        <v>6</v>
      </c>
      <c r="C95" s="36">
        <f t="shared" si="9"/>
        <v>10</v>
      </c>
    </row>
    <row r="96" spans="1:3" x14ac:dyDescent="0.25">
      <c r="A96" s="6" t="s">
        <v>171</v>
      </c>
      <c r="B96" s="6">
        <f t="shared" si="8"/>
        <v>6</v>
      </c>
      <c r="C96" s="36">
        <f t="shared" si="9"/>
        <v>11</v>
      </c>
    </row>
    <row r="97" spans="1:3" s="1" customFormat="1" ht="15.75" thickBot="1" x14ac:dyDescent="0.3">
      <c r="A97" s="7" t="s">
        <v>171</v>
      </c>
      <c r="B97" s="7">
        <f t="shared" si="8"/>
        <v>6</v>
      </c>
      <c r="C97" s="37">
        <f t="shared" si="9"/>
        <v>12</v>
      </c>
    </row>
    <row r="98" spans="1:3" x14ac:dyDescent="0.25">
      <c r="A98" s="6" t="s">
        <v>171</v>
      </c>
      <c r="B98" s="6">
        <f>B82+1</f>
        <v>7</v>
      </c>
      <c r="C98" s="36">
        <f>C82</f>
        <v>13</v>
      </c>
    </row>
    <row r="99" spans="1:3" x14ac:dyDescent="0.25">
      <c r="A99" s="6" t="s">
        <v>171</v>
      </c>
      <c r="B99" s="6">
        <f>B83+1</f>
        <v>7</v>
      </c>
      <c r="C99" s="36">
        <f>C83</f>
        <v>14</v>
      </c>
    </row>
    <row r="100" spans="1:3" x14ac:dyDescent="0.25">
      <c r="A100" s="6" t="s">
        <v>171</v>
      </c>
      <c r="B100" s="6">
        <f t="shared" ref="B100:B113" si="10">B84+1</f>
        <v>7</v>
      </c>
      <c r="C100" s="36">
        <f t="shared" ref="C100:C113" si="11">C84</f>
        <v>15</v>
      </c>
    </row>
    <row r="101" spans="1:3" x14ac:dyDescent="0.25">
      <c r="A101" s="6" t="s">
        <v>171</v>
      </c>
      <c r="B101" s="6">
        <f t="shared" si="10"/>
        <v>7</v>
      </c>
      <c r="C101" s="36">
        <f t="shared" si="11"/>
        <v>16</v>
      </c>
    </row>
    <row r="102" spans="1:3" x14ac:dyDescent="0.25">
      <c r="A102" s="6" t="s">
        <v>171</v>
      </c>
      <c r="B102" s="6">
        <f t="shared" si="10"/>
        <v>7</v>
      </c>
      <c r="C102" s="36">
        <f t="shared" si="11"/>
        <v>1</v>
      </c>
    </row>
    <row r="103" spans="1:3" x14ac:dyDescent="0.25">
      <c r="A103" s="6" t="s">
        <v>171</v>
      </c>
      <c r="B103" s="6">
        <f t="shared" si="10"/>
        <v>7</v>
      </c>
      <c r="C103" s="36">
        <f t="shared" si="11"/>
        <v>2</v>
      </c>
    </row>
    <row r="104" spans="1:3" x14ac:dyDescent="0.25">
      <c r="A104" s="6" t="s">
        <v>171</v>
      </c>
      <c r="B104" s="6">
        <f t="shared" si="10"/>
        <v>7</v>
      </c>
      <c r="C104" s="36">
        <f t="shared" si="11"/>
        <v>3</v>
      </c>
    </row>
    <row r="105" spans="1:3" x14ac:dyDescent="0.25">
      <c r="A105" s="6" t="s">
        <v>171</v>
      </c>
      <c r="B105" s="6">
        <f t="shared" si="10"/>
        <v>7</v>
      </c>
      <c r="C105" s="36">
        <f t="shared" si="11"/>
        <v>4</v>
      </c>
    </row>
    <row r="106" spans="1:3" x14ac:dyDescent="0.25">
      <c r="A106" s="6" t="s">
        <v>171</v>
      </c>
      <c r="B106" s="6">
        <f t="shared" si="10"/>
        <v>7</v>
      </c>
      <c r="C106" s="36">
        <f t="shared" si="11"/>
        <v>5</v>
      </c>
    </row>
    <row r="107" spans="1:3" x14ac:dyDescent="0.25">
      <c r="A107" s="6" t="s">
        <v>171</v>
      </c>
      <c r="B107" s="6">
        <f t="shared" si="10"/>
        <v>7</v>
      </c>
      <c r="C107" s="36">
        <f t="shared" si="11"/>
        <v>6</v>
      </c>
    </row>
    <row r="108" spans="1:3" x14ac:dyDescent="0.25">
      <c r="A108" s="6" t="s">
        <v>171</v>
      </c>
      <c r="B108" s="6">
        <f t="shared" si="10"/>
        <v>7</v>
      </c>
      <c r="C108" s="36">
        <f t="shared" si="11"/>
        <v>7</v>
      </c>
    </row>
    <row r="109" spans="1:3" x14ac:dyDescent="0.25">
      <c r="A109" s="6" t="s">
        <v>171</v>
      </c>
      <c r="B109" s="6">
        <f t="shared" si="10"/>
        <v>7</v>
      </c>
      <c r="C109" s="36">
        <f t="shared" si="11"/>
        <v>8</v>
      </c>
    </row>
    <row r="110" spans="1:3" x14ac:dyDescent="0.25">
      <c r="A110" s="6" t="s">
        <v>171</v>
      </c>
      <c r="B110" s="6">
        <f t="shared" si="10"/>
        <v>7</v>
      </c>
      <c r="C110" s="36">
        <f t="shared" si="11"/>
        <v>9</v>
      </c>
    </row>
    <row r="111" spans="1:3" x14ac:dyDescent="0.25">
      <c r="A111" s="6" t="s">
        <v>171</v>
      </c>
      <c r="B111" s="6">
        <f t="shared" si="10"/>
        <v>7</v>
      </c>
      <c r="C111" s="36">
        <f t="shared" si="11"/>
        <v>10</v>
      </c>
    </row>
    <row r="112" spans="1:3" x14ac:dyDescent="0.25">
      <c r="A112" s="6" t="s">
        <v>171</v>
      </c>
      <c r="B112" s="6">
        <f t="shared" si="10"/>
        <v>7</v>
      </c>
      <c r="C112" s="36">
        <f t="shared" si="11"/>
        <v>11</v>
      </c>
    </row>
    <row r="113" spans="1:3" s="1" customFormat="1" ht="15.75" thickBot="1" x14ac:dyDescent="0.3">
      <c r="A113" s="7" t="s">
        <v>171</v>
      </c>
      <c r="B113" s="7">
        <f t="shared" si="10"/>
        <v>7</v>
      </c>
      <c r="C113" s="37">
        <f t="shared" si="11"/>
        <v>12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38FA-C6AB-4B70-8EC0-4224A9CD5CFF}">
  <dimension ref="A1:C49"/>
  <sheetViews>
    <sheetView tabSelected="1" topLeftCell="A25" zoomScale="115" zoomScaleNormal="115" workbookViewId="0">
      <selection activeCell="A37" sqref="A37"/>
    </sheetView>
  </sheetViews>
  <sheetFormatPr defaultRowHeight="15" x14ac:dyDescent="0.25"/>
  <cols>
    <col min="3" max="3" width="20" customWidth="1"/>
  </cols>
  <sheetData>
    <row r="1" spans="1:3" s="1" customFormat="1" ht="15.75" thickBot="1" x14ac:dyDescent="0.3">
      <c r="A1" s="7" t="s">
        <v>249</v>
      </c>
      <c r="B1" s="7" t="s">
        <v>169</v>
      </c>
      <c r="C1" s="33" t="s">
        <v>170</v>
      </c>
    </row>
    <row r="2" spans="1:3" x14ac:dyDescent="0.25">
      <c r="A2" s="10" t="s">
        <v>166</v>
      </c>
      <c r="B2" s="6">
        <v>1</v>
      </c>
      <c r="C2" s="34">
        <v>13</v>
      </c>
    </row>
    <row r="3" spans="1:3" x14ac:dyDescent="0.25">
      <c r="A3" s="10" t="s">
        <v>71</v>
      </c>
      <c r="B3" s="6">
        <v>1</v>
      </c>
      <c r="C3" s="34">
        <v>14</v>
      </c>
    </row>
    <row r="4" spans="1:3" x14ac:dyDescent="0.25">
      <c r="A4" s="10" t="s">
        <v>173</v>
      </c>
      <c r="B4" s="6">
        <v>1</v>
      </c>
      <c r="C4" s="34">
        <v>15</v>
      </c>
    </row>
    <row r="5" spans="1:3" x14ac:dyDescent="0.25">
      <c r="A5" s="10" t="s">
        <v>175</v>
      </c>
      <c r="B5" s="6">
        <v>1</v>
      </c>
      <c r="C5" s="34">
        <v>16</v>
      </c>
    </row>
    <row r="6" spans="1:3" x14ac:dyDescent="0.25">
      <c r="A6" s="10" t="s">
        <v>177</v>
      </c>
      <c r="B6" s="6">
        <v>1</v>
      </c>
      <c r="C6" s="34">
        <v>1</v>
      </c>
    </row>
    <row r="7" spans="1:3" x14ac:dyDescent="0.25">
      <c r="A7" s="10" t="s">
        <v>179</v>
      </c>
      <c r="B7" s="6">
        <v>1</v>
      </c>
      <c r="C7" s="34">
        <v>2</v>
      </c>
    </row>
    <row r="8" spans="1:3" x14ac:dyDescent="0.25">
      <c r="A8" s="10" t="s">
        <v>72</v>
      </c>
      <c r="B8" s="6">
        <v>1</v>
      </c>
      <c r="C8" s="34">
        <v>3</v>
      </c>
    </row>
    <row r="9" spans="1:3" x14ac:dyDescent="0.25">
      <c r="A9" s="10" t="s">
        <v>73</v>
      </c>
      <c r="B9" s="6">
        <v>1</v>
      </c>
      <c r="C9" s="34">
        <v>4</v>
      </c>
    </row>
    <row r="10" spans="1:3" x14ac:dyDescent="0.25">
      <c r="A10" s="10" t="s">
        <v>184</v>
      </c>
      <c r="B10" s="6">
        <v>1</v>
      </c>
      <c r="C10" s="34">
        <v>5</v>
      </c>
    </row>
    <row r="11" spans="1:3" x14ac:dyDescent="0.25">
      <c r="A11" s="10" t="s">
        <v>185</v>
      </c>
      <c r="B11" s="6">
        <v>1</v>
      </c>
      <c r="C11" s="34">
        <v>6</v>
      </c>
    </row>
    <row r="12" spans="1:3" x14ac:dyDescent="0.25">
      <c r="A12" s="10" t="s">
        <v>188</v>
      </c>
      <c r="B12" s="6">
        <v>1</v>
      </c>
      <c r="C12" s="34">
        <v>7</v>
      </c>
    </row>
    <row r="13" spans="1:3" x14ac:dyDescent="0.25">
      <c r="A13" s="10" t="s">
        <v>189</v>
      </c>
      <c r="B13" s="6">
        <v>1</v>
      </c>
      <c r="C13" s="34">
        <v>8</v>
      </c>
    </row>
    <row r="14" spans="1:3" x14ac:dyDescent="0.25">
      <c r="A14" s="10" t="s">
        <v>190</v>
      </c>
      <c r="B14" s="6">
        <v>1</v>
      </c>
      <c r="C14" s="34">
        <v>9</v>
      </c>
    </row>
    <row r="15" spans="1:3" x14ac:dyDescent="0.25">
      <c r="A15" s="10" t="s">
        <v>193</v>
      </c>
      <c r="B15" s="6">
        <v>1</v>
      </c>
      <c r="C15" s="34">
        <v>10</v>
      </c>
    </row>
    <row r="16" spans="1:3" x14ac:dyDescent="0.25">
      <c r="A16" s="10" t="s">
        <v>196</v>
      </c>
      <c r="B16" s="6">
        <v>1</v>
      </c>
      <c r="C16" s="34">
        <v>11</v>
      </c>
    </row>
    <row r="17" spans="1:3" s="1" customFormat="1" ht="15.75" thickBot="1" x14ac:dyDescent="0.3">
      <c r="A17" s="11" t="s">
        <v>199</v>
      </c>
      <c r="B17" s="7">
        <v>1</v>
      </c>
      <c r="C17" s="33">
        <v>12</v>
      </c>
    </row>
    <row r="18" spans="1:3" x14ac:dyDescent="0.25">
      <c r="A18" s="9" t="s">
        <v>202</v>
      </c>
      <c r="B18" s="6">
        <f>B2+1</f>
        <v>2</v>
      </c>
      <c r="C18" s="35">
        <f>C2</f>
        <v>13</v>
      </c>
    </row>
    <row r="19" spans="1:3" x14ac:dyDescent="0.25">
      <c r="A19" s="10" t="s">
        <v>205</v>
      </c>
      <c r="B19" s="6">
        <f>B3+1</f>
        <v>2</v>
      </c>
      <c r="C19" s="36">
        <f>C3</f>
        <v>14</v>
      </c>
    </row>
    <row r="20" spans="1:3" x14ac:dyDescent="0.25">
      <c r="A20" s="10" t="s">
        <v>208</v>
      </c>
      <c r="B20" s="6">
        <f t="shared" ref="B20:B33" si="0">B4+1</f>
        <v>2</v>
      </c>
      <c r="C20" s="36">
        <f t="shared" ref="C20:C33" si="1">C4</f>
        <v>15</v>
      </c>
    </row>
    <row r="21" spans="1:3" x14ac:dyDescent="0.25">
      <c r="A21" s="10" t="s">
        <v>211</v>
      </c>
      <c r="B21" s="6">
        <f t="shared" si="0"/>
        <v>2</v>
      </c>
      <c r="C21" s="36">
        <f t="shared" si="1"/>
        <v>16</v>
      </c>
    </row>
    <row r="22" spans="1:3" x14ac:dyDescent="0.25">
      <c r="A22" s="10" t="s">
        <v>214</v>
      </c>
      <c r="B22" s="6">
        <f t="shared" si="0"/>
        <v>2</v>
      </c>
      <c r="C22" s="36">
        <f t="shared" si="1"/>
        <v>1</v>
      </c>
    </row>
    <row r="23" spans="1:3" x14ac:dyDescent="0.25">
      <c r="A23" s="10" t="s">
        <v>217</v>
      </c>
      <c r="B23" s="6">
        <f t="shared" si="0"/>
        <v>2</v>
      </c>
      <c r="C23" s="36">
        <f t="shared" si="1"/>
        <v>2</v>
      </c>
    </row>
    <row r="24" spans="1:3" x14ac:dyDescent="0.25">
      <c r="A24" s="10" t="s">
        <v>220</v>
      </c>
      <c r="B24" s="6">
        <f t="shared" si="0"/>
        <v>2</v>
      </c>
      <c r="C24" s="36">
        <f t="shared" si="1"/>
        <v>3</v>
      </c>
    </row>
    <row r="25" spans="1:3" x14ac:dyDescent="0.25">
      <c r="A25" s="10" t="s">
        <v>223</v>
      </c>
      <c r="B25" s="6">
        <f t="shared" si="0"/>
        <v>2</v>
      </c>
      <c r="C25" s="36">
        <f t="shared" si="1"/>
        <v>4</v>
      </c>
    </row>
    <row r="26" spans="1:3" x14ac:dyDescent="0.25">
      <c r="A26" s="10" t="s">
        <v>226</v>
      </c>
      <c r="B26" s="6">
        <f t="shared" si="0"/>
        <v>2</v>
      </c>
      <c r="C26" s="36">
        <f t="shared" si="1"/>
        <v>5</v>
      </c>
    </row>
    <row r="27" spans="1:3" x14ac:dyDescent="0.25">
      <c r="A27" s="10" t="s">
        <v>229</v>
      </c>
      <c r="B27" s="6">
        <f t="shared" si="0"/>
        <v>2</v>
      </c>
      <c r="C27" s="36">
        <f t="shared" si="1"/>
        <v>6</v>
      </c>
    </row>
    <row r="28" spans="1:3" x14ac:dyDescent="0.25">
      <c r="A28" s="10" t="s">
        <v>232</v>
      </c>
      <c r="B28" s="6">
        <f t="shared" si="0"/>
        <v>2</v>
      </c>
      <c r="C28" s="36">
        <f t="shared" si="1"/>
        <v>7</v>
      </c>
    </row>
    <row r="29" spans="1:3" x14ac:dyDescent="0.25">
      <c r="A29" s="10" t="s">
        <v>235</v>
      </c>
      <c r="B29" s="6">
        <f t="shared" si="0"/>
        <v>2</v>
      </c>
      <c r="C29" s="36">
        <f t="shared" si="1"/>
        <v>8</v>
      </c>
    </row>
    <row r="30" spans="1:3" x14ac:dyDescent="0.25">
      <c r="A30" s="10" t="s">
        <v>238</v>
      </c>
      <c r="B30" s="6">
        <f t="shared" si="0"/>
        <v>2</v>
      </c>
      <c r="C30" s="36">
        <f t="shared" si="1"/>
        <v>9</v>
      </c>
    </row>
    <row r="31" spans="1:3" x14ac:dyDescent="0.25">
      <c r="A31" s="10" t="s">
        <v>241</v>
      </c>
      <c r="B31" s="6">
        <f t="shared" si="0"/>
        <v>2</v>
      </c>
      <c r="C31" s="36">
        <f t="shared" si="1"/>
        <v>10</v>
      </c>
    </row>
    <row r="32" spans="1:3" x14ac:dyDescent="0.25">
      <c r="A32" s="10" t="s">
        <v>244</v>
      </c>
      <c r="B32" s="6">
        <f t="shared" si="0"/>
        <v>2</v>
      </c>
      <c r="C32" s="36">
        <f t="shared" si="1"/>
        <v>11</v>
      </c>
    </row>
    <row r="33" spans="1:3" s="1" customFormat="1" ht="15.75" thickBot="1" x14ac:dyDescent="0.3">
      <c r="A33" s="11" t="s">
        <v>247</v>
      </c>
      <c r="B33" s="7">
        <f t="shared" si="0"/>
        <v>2</v>
      </c>
      <c r="C33" s="37">
        <f t="shared" si="1"/>
        <v>12</v>
      </c>
    </row>
    <row r="34" spans="1:3" x14ac:dyDescent="0.25">
      <c r="A34" s="10" t="s">
        <v>69</v>
      </c>
      <c r="B34" s="6">
        <f>B18+1</f>
        <v>3</v>
      </c>
      <c r="C34" s="35">
        <f>C18</f>
        <v>13</v>
      </c>
    </row>
    <row r="35" spans="1:3" x14ac:dyDescent="0.25">
      <c r="A35" s="10" t="s">
        <v>70</v>
      </c>
      <c r="B35" s="6">
        <f>B19+1</f>
        <v>3</v>
      </c>
      <c r="C35" s="36">
        <f>C19</f>
        <v>14</v>
      </c>
    </row>
    <row r="36" spans="1:3" x14ac:dyDescent="0.25">
      <c r="A36" s="10" t="s">
        <v>292</v>
      </c>
      <c r="B36" s="6">
        <f t="shared" ref="B36:B49" si="2">B20+1</f>
        <v>3</v>
      </c>
      <c r="C36" s="36">
        <f t="shared" ref="C36:C49" si="3">C20</f>
        <v>15</v>
      </c>
    </row>
    <row r="37" spans="1:3" x14ac:dyDescent="0.25">
      <c r="A37" s="10" t="s">
        <v>171</v>
      </c>
      <c r="B37" s="6">
        <f t="shared" si="2"/>
        <v>3</v>
      </c>
      <c r="C37" s="36">
        <f t="shared" si="3"/>
        <v>16</v>
      </c>
    </row>
    <row r="38" spans="1:3" x14ac:dyDescent="0.25">
      <c r="A38" s="10" t="s">
        <v>171</v>
      </c>
      <c r="B38" s="6">
        <f t="shared" si="2"/>
        <v>3</v>
      </c>
      <c r="C38" s="36">
        <f t="shared" si="3"/>
        <v>1</v>
      </c>
    </row>
    <row r="39" spans="1:3" x14ac:dyDescent="0.25">
      <c r="A39" s="10" t="s">
        <v>171</v>
      </c>
      <c r="B39" s="6">
        <f t="shared" si="2"/>
        <v>3</v>
      </c>
      <c r="C39" s="36">
        <f t="shared" si="3"/>
        <v>2</v>
      </c>
    </row>
    <row r="40" spans="1:3" x14ac:dyDescent="0.25">
      <c r="A40" s="10" t="s">
        <v>171</v>
      </c>
      <c r="B40" s="6">
        <f t="shared" si="2"/>
        <v>3</v>
      </c>
      <c r="C40" s="36">
        <f t="shared" si="3"/>
        <v>3</v>
      </c>
    </row>
    <row r="41" spans="1:3" x14ac:dyDescent="0.25">
      <c r="A41" s="10" t="s">
        <v>171</v>
      </c>
      <c r="B41" s="6">
        <f t="shared" si="2"/>
        <v>3</v>
      </c>
      <c r="C41" s="36">
        <f t="shared" si="3"/>
        <v>4</v>
      </c>
    </row>
    <row r="42" spans="1:3" x14ac:dyDescent="0.25">
      <c r="A42" s="10" t="s">
        <v>171</v>
      </c>
      <c r="B42" s="6">
        <f t="shared" si="2"/>
        <v>3</v>
      </c>
      <c r="C42" s="36">
        <f t="shared" si="3"/>
        <v>5</v>
      </c>
    </row>
    <row r="43" spans="1:3" x14ac:dyDescent="0.25">
      <c r="A43" s="10" t="s">
        <v>171</v>
      </c>
      <c r="B43" s="6">
        <f t="shared" si="2"/>
        <v>3</v>
      </c>
      <c r="C43" s="36">
        <f t="shared" si="3"/>
        <v>6</v>
      </c>
    </row>
    <row r="44" spans="1:3" x14ac:dyDescent="0.25">
      <c r="A44" s="10" t="s">
        <v>171</v>
      </c>
      <c r="B44" s="6">
        <f t="shared" si="2"/>
        <v>3</v>
      </c>
      <c r="C44" s="36">
        <f t="shared" si="3"/>
        <v>7</v>
      </c>
    </row>
    <row r="45" spans="1:3" x14ac:dyDescent="0.25">
      <c r="A45" s="10" t="s">
        <v>171</v>
      </c>
      <c r="B45" s="6">
        <f t="shared" si="2"/>
        <v>3</v>
      </c>
      <c r="C45" s="36">
        <f t="shared" si="3"/>
        <v>8</v>
      </c>
    </row>
    <row r="46" spans="1:3" x14ac:dyDescent="0.25">
      <c r="A46" s="10" t="s">
        <v>171</v>
      </c>
      <c r="B46" s="6">
        <f t="shared" si="2"/>
        <v>3</v>
      </c>
      <c r="C46" s="36">
        <f t="shared" si="3"/>
        <v>9</v>
      </c>
    </row>
    <row r="47" spans="1:3" x14ac:dyDescent="0.25">
      <c r="A47" s="10" t="s">
        <v>171</v>
      </c>
      <c r="B47" s="6">
        <f t="shared" si="2"/>
        <v>3</v>
      </c>
      <c r="C47" s="36">
        <f t="shared" si="3"/>
        <v>10</v>
      </c>
    </row>
    <row r="48" spans="1:3" x14ac:dyDescent="0.25">
      <c r="A48" s="10" t="s">
        <v>171</v>
      </c>
      <c r="B48" s="6">
        <f t="shared" si="2"/>
        <v>3</v>
      </c>
      <c r="C48" s="36">
        <f t="shared" si="3"/>
        <v>11</v>
      </c>
    </row>
    <row r="49" spans="1:3" s="1" customFormat="1" ht="15.75" thickBot="1" x14ac:dyDescent="0.3">
      <c r="A49" s="11" t="s">
        <v>171</v>
      </c>
      <c r="B49" s="7">
        <f t="shared" si="2"/>
        <v>3</v>
      </c>
      <c r="C49" s="37">
        <f t="shared" si="3"/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Инструкция</vt:lpstr>
      <vt:lpstr>PLC</vt:lpstr>
      <vt:lpstr>Phase</vt:lpstr>
      <vt:lpstr>AI</vt:lpstr>
      <vt:lpstr>RTD</vt:lpstr>
      <vt:lpstr>DI</vt:lpstr>
      <vt:lpstr>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Мустафин Айрат Илдарович</dc:creator>
  <cp:lastModifiedBy>Мустафин Айрат Илдарович</cp:lastModifiedBy>
  <dcterms:created xsi:type="dcterms:W3CDTF">2015-06-05T18:19:34Z</dcterms:created>
  <dcterms:modified xsi:type="dcterms:W3CDTF">2026-03-27T07:16:12Z</dcterms:modified>
</cp:coreProperties>
</file>